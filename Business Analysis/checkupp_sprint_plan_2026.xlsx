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17D3AF12-7261-4541-9680-4FF1AF270E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4" l="1"/>
  <c r="C10" i="4"/>
  <c r="D9" i="4"/>
  <c r="C9" i="4"/>
  <c r="D8" i="4"/>
  <c r="C8" i="4"/>
  <c r="D7" i="4"/>
  <c r="C7" i="4"/>
  <c r="D6" i="4"/>
  <c r="C6" i="4"/>
  <c r="D5" i="4"/>
  <c r="C5" i="4"/>
  <c r="D4" i="4"/>
  <c r="C4" i="4"/>
  <c r="D3" i="4"/>
  <c r="C3" i="4"/>
  <c r="D2" i="4"/>
  <c r="C2" i="4"/>
  <c r="I112" i="1" a="1"/>
  <c r="I112" i="1" s="1"/>
  <c r="I111" i="1" a="1"/>
  <c r="I111" i="1" s="1"/>
  <c r="I110" i="1" a="1"/>
  <c r="I110" i="1" s="1"/>
  <c r="I109" i="1" a="1"/>
  <c r="I109" i="1" s="1"/>
  <c r="I108" i="1" a="1"/>
  <c r="I108" i="1" s="1"/>
  <c r="I107" i="1" a="1"/>
  <c r="I107" i="1" s="1"/>
  <c r="I106" i="1" a="1"/>
  <c r="I106" i="1" s="1"/>
  <c r="I105" i="1" a="1"/>
  <c r="I105" i="1" s="1"/>
  <c r="I104" i="1" a="1"/>
  <c r="I104" i="1" s="1"/>
  <c r="I103" i="1" a="1"/>
  <c r="I103" i="1" s="1"/>
  <c r="I102" i="1" a="1"/>
  <c r="I102" i="1" s="1"/>
  <c r="I101" i="1" a="1"/>
  <c r="I101" i="1" s="1"/>
  <c r="I100" i="1" a="1"/>
  <c r="I100" i="1" s="1"/>
  <c r="I99" i="1" a="1"/>
  <c r="I99" i="1" s="1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I93" i="1" a="1"/>
  <c r="I93" i="1" s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I87" i="1" a="1"/>
  <c r="I87" i="1" s="1"/>
  <c r="I86" i="1" a="1"/>
  <c r="I86" i="1" s="1"/>
  <c r="I85" i="1" a="1"/>
  <c r="I85" i="1" s="1"/>
  <c r="I84" i="1" a="1"/>
  <c r="I84" i="1" s="1"/>
  <c r="I83" i="1" a="1"/>
  <c r="I83" i="1" s="1"/>
  <c r="I82" i="1" a="1"/>
  <c r="I82" i="1" s="1"/>
  <c r="I81" i="1" a="1"/>
  <c r="I81" i="1" s="1"/>
  <c r="I80" i="1" a="1"/>
  <c r="I80" i="1" s="1"/>
  <c r="I79" i="1" a="1"/>
  <c r="I79" i="1" s="1"/>
  <c r="I78" i="1" a="1"/>
  <c r="I78" i="1" s="1"/>
  <c r="I77" i="1" a="1"/>
  <c r="I77" i="1" s="1"/>
  <c r="I76" i="1" a="1"/>
  <c r="I76" i="1" s="1"/>
  <c r="I75" i="1" a="1"/>
  <c r="I75" i="1" s="1"/>
  <c r="I74" i="1" a="1"/>
  <c r="I74" i="1" s="1"/>
  <c r="I73" i="1" a="1"/>
  <c r="I73" i="1" s="1"/>
  <c r="I72" i="1" a="1"/>
  <c r="I72" i="1" s="1"/>
  <c r="I71" i="1" a="1"/>
  <c r="I71" i="1" s="1"/>
  <c r="I70" i="1" a="1"/>
  <c r="I70" i="1" s="1"/>
  <c r="I69" i="1" a="1"/>
  <c r="I69" i="1" s="1"/>
  <c r="I68" i="1" a="1"/>
  <c r="I68" i="1" s="1"/>
  <c r="I67" i="1" a="1"/>
  <c r="I67" i="1" s="1"/>
  <c r="I66" i="1" a="1"/>
  <c r="I66" i="1" s="1"/>
  <c r="I65" i="1" a="1"/>
  <c r="I65" i="1" s="1"/>
  <c r="I64" i="1" a="1"/>
  <c r="I64" i="1" s="1"/>
  <c r="I63" i="1" a="1"/>
  <c r="I63" i="1" s="1"/>
  <c r="I62" i="1" a="1"/>
  <c r="I62" i="1" s="1"/>
  <c r="I61" i="1" a="1"/>
  <c r="I61" i="1" s="1"/>
  <c r="I60" i="1" a="1"/>
  <c r="I60" i="1" s="1"/>
  <c r="I59" i="1" a="1"/>
  <c r="I59" i="1" s="1"/>
  <c r="I58" i="1" a="1"/>
  <c r="I58" i="1" s="1"/>
  <c r="I57" i="1" a="1"/>
  <c r="I57" i="1" s="1"/>
  <c r="I56" i="1" a="1"/>
  <c r="I56" i="1" s="1"/>
  <c r="I55" i="1" a="1"/>
  <c r="I55" i="1" s="1"/>
  <c r="I54" i="1" a="1"/>
  <c r="I54" i="1" s="1"/>
  <c r="I53" i="1" a="1"/>
  <c r="I53" i="1" s="1"/>
  <c r="I52" i="1" a="1"/>
  <c r="I52" i="1" s="1"/>
  <c r="I51" i="1" a="1"/>
  <c r="I51" i="1" s="1"/>
  <c r="I50" i="1" a="1"/>
  <c r="I50" i="1" s="1"/>
  <c r="I49" i="1" a="1"/>
  <c r="I49" i="1" s="1"/>
  <c r="I48" i="1" a="1"/>
  <c r="I48" i="1" s="1"/>
  <c r="I47" i="1" a="1"/>
  <c r="I47" i="1" s="1"/>
  <c r="I46" i="1" a="1"/>
  <c r="I46" i="1" s="1"/>
  <c r="I45" i="1" a="1"/>
  <c r="I45" i="1" s="1"/>
  <c r="I44" i="1" a="1"/>
  <c r="I44" i="1" s="1"/>
  <c r="I43" i="1" a="1"/>
  <c r="I43" i="1" s="1"/>
  <c r="I42" i="1" a="1"/>
  <c r="I42" i="1" s="1"/>
  <c r="I41" i="1" a="1"/>
  <c r="I41" i="1" s="1"/>
  <c r="I40" i="1" a="1"/>
  <c r="I40" i="1" s="1"/>
  <c r="I39" i="1" a="1"/>
  <c r="I39" i="1" s="1"/>
  <c r="I38" i="1" a="1"/>
  <c r="I38" i="1" s="1"/>
  <c r="I37" i="1" a="1"/>
  <c r="I37" i="1" s="1"/>
  <c r="I36" i="1" a="1"/>
  <c r="I36" i="1" s="1"/>
  <c r="I35" i="1" a="1"/>
  <c r="I35" i="1" s="1"/>
  <c r="I34" i="1" a="1"/>
  <c r="I34" i="1" s="1"/>
  <c r="I33" i="1" a="1"/>
  <c r="I33" i="1" s="1"/>
  <c r="I32" i="1" a="1"/>
  <c r="I32" i="1" s="1"/>
  <c r="I31" i="1" a="1"/>
  <c r="I31" i="1" s="1"/>
  <c r="I30" i="1" a="1"/>
  <c r="I30" i="1" s="1"/>
  <c r="I29" i="1" a="1"/>
  <c r="I29" i="1" s="1"/>
  <c r="I28" i="1" a="1"/>
  <c r="I28" i="1" s="1"/>
  <c r="I27" i="1" a="1"/>
  <c r="I27" i="1" s="1"/>
  <c r="I26" i="1" a="1"/>
  <c r="I26" i="1" s="1"/>
  <c r="I25" i="1" a="1"/>
  <c r="I25" i="1" s="1"/>
  <c r="I24" i="1" a="1"/>
  <c r="I24" i="1" s="1"/>
  <c r="I23" i="1" a="1"/>
  <c r="I23" i="1" s="1"/>
  <c r="I22" i="1" a="1"/>
  <c r="I22" i="1" s="1"/>
  <c r="I21" i="1" a="1"/>
  <c r="I21" i="1" s="1"/>
  <c r="I20" i="1" a="1"/>
  <c r="I20" i="1" s="1"/>
  <c r="I19" i="1" a="1"/>
  <c r="I19" i="1" s="1"/>
  <c r="I18" i="1" a="1"/>
  <c r="I18" i="1" s="1"/>
  <c r="I17" i="1" a="1"/>
  <c r="I17" i="1" s="1"/>
  <c r="I16" i="1" a="1"/>
  <c r="I16" i="1" s="1"/>
  <c r="I15" i="1" a="1"/>
  <c r="I15" i="1" s="1"/>
  <c r="I14" i="1" a="1"/>
  <c r="I14" i="1" s="1"/>
  <c r="I13" i="1" a="1"/>
  <c r="I13" i="1" s="1"/>
  <c r="I12" i="1" a="1"/>
  <c r="I12" i="1" s="1"/>
  <c r="I11" i="1" a="1"/>
  <c r="I11" i="1" s="1"/>
  <c r="I10" i="1" a="1"/>
  <c r="I10" i="1" s="1"/>
  <c r="I9" i="1" a="1"/>
  <c r="I9" i="1" s="1"/>
  <c r="I8" i="1" a="1"/>
  <c r="I8" i="1" s="1"/>
  <c r="I7" i="1" a="1"/>
  <c r="I7" i="1" s="1"/>
  <c r="I6" i="1" a="1"/>
  <c r="I6" i="1" s="1"/>
  <c r="I5" i="1" a="1"/>
  <c r="I5" i="1" s="1"/>
  <c r="I4" i="1" a="1"/>
  <c r="I4" i="1" s="1"/>
  <c r="I3" i="1" a="1"/>
  <c r="I3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<sst xmlns="http://schemas.openxmlformats.org/spreadsheetml/2006/main" count="158" uniqueCount="76">
  <si>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</si>
  <si>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</si>
  <si>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</si>
  <si>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</si>
  <si>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</si>
  <si>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</si>
  <si>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</si>
  <si>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</si>
  <si>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</si>
  <si>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</si>
  <si>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</si>
  <si>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</si>
  <si>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</si>
  <si>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</si>
  <si>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</si>
  <si>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</si>
  <si>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</si>
  <si>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</si>
  <si>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</si>
  <si>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</si>
  <si>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</si>
  <si>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</si>
  <si>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</si>
  <si>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</si>
  <si>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</si>
  <si>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</si>
  <si>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</si>
  <si>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</si>
  <si>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</si>
  <si>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</si>
  <si>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</si>
  <si>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</si>
  <si>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</si>
  <si>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</si>
  <si>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Dev environment setup</t>
  </si>
  <si>
    <t>Implement business logic for Your Health Overview</t>
  </si>
  <si>
    <t>Implement backend API for Your Health Overview</t>
  </si>
  <si>
    <t>Unit &amp; Integration tests for Your Health Overview</t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</si>
  <si>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</si>
  <si>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verticalScale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getFontSize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getSpacing</t>
    </r>
    <r>
      <rPr>
        <sz val="11"/>
        <color theme="1"/>
        <rFont val="Calibri"/>
        <family val="2"/>
        <scheme val="minor"/>
      </rPr>
      <t xml:space="preserve">) and NativeWind/Tailwind classes are imported cleanly in </t>
    </r>
    <r>
      <rPr>
        <b/>
        <sz val="11"/>
        <color theme="1"/>
        <rFont val="Calibri"/>
        <family val="2"/>
        <scheme val="minor"/>
      </rPr>
      <t>HealthOverviewSection.tsx</t>
    </r>
    <r>
      <rPr>
        <sz val="11"/>
        <color theme="1"/>
        <rFont val="Calibri"/>
        <family val="2"/>
        <scheme val="minor"/>
      </rPr>
      <t xml:space="preserve"> with zero visual regression.</t>
    </r>
  </si>
  <si>
    <t>1.1, 1.6</t>
  </si>
  <si>
    <t>1.2, 1.3, 1.4, 1.5</t>
  </si>
  <si>
    <t>1.1, 1.2, 1.3, 1.4, 1.8</t>
  </si>
  <si>
    <t>1.1, 1.2, 1.3, 1.4, 1.6, 1.7</t>
  </si>
  <si>
    <r>
      <rPr>
        <b/>
        <sz val="11"/>
        <color theme="1"/>
        <rFont val="Calibri"/>
        <family val="2"/>
        <scheme val="minor"/>
      </rPr>
      <t>Define Time-Bucketed Screening Overview TypeScript Interfaces, Validation &amp; Sorting Constants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</si>
  <si>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1.1, 1.2, 1.3, 1.4, 1.7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</si>
  <si>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&amp; Chronological Sorting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checkupp-api/src/modules/screenings/screening.routes.ts
2. Database Querying</t>
    </r>
    <r>
      <rPr>
        <sz val="11"/>
        <color theme="1"/>
        <rFont val="Calibri"/>
        <family val="2"/>
        <scheme val="minor"/>
      </rPr>
      <t xml:space="preserve">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Prisma (</t>
    </r>
    <r>
      <rPr>
        <b/>
        <sz val="11"/>
        <color theme="1"/>
        <rFont val="Calibri"/>
        <family val="2"/>
        <scheme val="minor"/>
      </rPr>
      <t>prisma.screeningDueItem.findMany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prisma.screeningRecord.findMany</t>
    </r>
    <r>
      <rPr>
        <sz val="11"/>
        <color theme="1"/>
        <rFont val="Calibri"/>
        <family val="2"/>
        <scheme val="minor"/>
      </rPr>
      <t xml:space="preserve">) filtered </t>
    </r>
    <r>
      <rPr>
        <b/>
        <sz val="11"/>
        <color theme="1"/>
        <rFont val="Calibri"/>
        <family val="2"/>
        <scheme val="minor"/>
      </rPr>
      <t>strictly by userId: userId</t>
    </r>
    <r>
      <rPr>
        <sz val="11"/>
        <color theme="1"/>
        <rFont val="Calibri"/>
        <family val="2"/>
        <scheme val="minor"/>
      </rPr>
      <t xml:space="preserve"> for multi-tenant isolation.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Bucketing Rules</t>
    </r>
    <r>
      <rPr>
        <sz val="11"/>
        <color theme="1"/>
        <rFont val="Calibri"/>
        <family val="2"/>
        <scheme val="minor"/>
      </rPr>
      <t xml:space="preserve"> (US 1.2–1.4):
- Calculate </t>
    </r>
    <r>
      <rPr>
        <b/>
        <sz val="11"/>
        <color theme="1"/>
        <rFont val="Calibri"/>
        <family val="2"/>
        <scheme val="minor"/>
      </rPr>
      <t>daysUntilDue = Math.floor((dueDate.getTime() - Date.now()) / (1000 * 60 * 60 * 24))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(0 &lt;= daysUntilDue &lt;= 90): Items with non-completed status due within 0 to 90 days.
-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(91 &lt;= daysUntilDue &lt;= 365 OR daysUntilDue &lt; 0): Items with non-completed status. If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, flag </t>
    </r>
    <r>
      <rPr>
        <b/>
        <sz val="11"/>
        <color theme="1"/>
        <rFont val="Calibri"/>
        <family val="2"/>
        <scheme val="minor"/>
      </rPr>
      <t>isOverdue = true</t>
    </r>
    <r>
      <rPr>
        <sz val="11"/>
        <color theme="1"/>
        <rFont val="Calibri"/>
        <family val="2"/>
        <scheme val="minor"/>
      </rPr>
      <t xml:space="preserve"> and set</t>
    </r>
    <r>
      <rPr>
        <b/>
        <sz val="11"/>
        <color theme="1"/>
        <rFont val="Calibri"/>
        <family val="2"/>
        <scheme val="minor"/>
      </rPr>
      <t xml:space="preserve"> status = 'OVERDUE'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: Items where status === 'COMPLETED'. Use the completion record date as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Chronological Sorting Engine</t>
    </r>
    <r>
      <rPr>
        <sz val="11"/>
        <color theme="1"/>
        <rFont val="Calibri"/>
        <family val="2"/>
        <scheme val="minor"/>
      </rPr>
      <t xml:space="preserve"> (US 1.7 AC):
- Sort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array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(earliest upcoming screening at top).
- Sort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 with </t>
    </r>
    <r>
      <rPr>
        <b/>
        <sz val="11"/>
        <color theme="1"/>
        <rFont val="Calibri"/>
        <family val="2"/>
        <scheme val="minor"/>
      </rPr>
      <t>Overdue pinned to top</t>
    </r>
    <r>
      <rPr>
        <sz val="11"/>
        <color theme="1"/>
        <rFont val="Calibri"/>
        <family val="2"/>
        <scheme val="minor"/>
      </rPr>
      <t xml:space="preserve"> (sorted by most overdue first: smallest/most negative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ascending), followed by standard due screenings sorted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- Sort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array chronologically </t>
    </r>
    <r>
      <rPr>
        <b/>
        <sz val="11"/>
        <color theme="1"/>
        <rFont val="Calibri"/>
        <family val="2"/>
        <scheme val="minor"/>
      </rPr>
      <t>descending</t>
    </r>
    <r>
      <rPr>
        <sz val="11"/>
        <color theme="1"/>
        <rFont val="Calibri"/>
        <family val="2"/>
        <scheme val="minor"/>
      </rPr>
      <t xml:space="preserve"> by completion date (most recently completed at top).
5. </t>
    </r>
    <r>
      <rPr>
        <b/>
        <sz val="11"/>
        <color theme="1"/>
        <rFont val="Calibri"/>
        <family val="2"/>
        <scheme val="minor"/>
      </rPr>
      <t>Counts Calculation</t>
    </r>
    <r>
      <rPr>
        <sz val="11"/>
        <color theme="1"/>
        <rFont val="Calibri"/>
        <family val="2"/>
        <scheme val="minor"/>
      </rPr>
      <t xml:space="preserve">: Return </t>
    </r>
    <r>
      <rPr>
        <b/>
        <sz val="11"/>
        <color theme="1"/>
        <rFont val="Calibri"/>
        <family val="2"/>
        <scheme val="minor"/>
      </rPr>
      <t>{ counts: { upcoming: upcoming.length, due: due.length, completed: completed.length }, upcoming, due, completed }</t>
    </r>
    <r>
      <rPr>
        <sz val="11"/>
        <color theme="1"/>
        <rFont val="Calibri"/>
        <family val="2"/>
        <scheme val="minor"/>
      </rPr>
      <t xml:space="preserve">.
6. </t>
    </r>
    <r>
      <rPr>
        <b/>
        <sz val="11"/>
        <color theme="1"/>
        <rFont val="Calibri"/>
        <family val="2"/>
        <scheme val="minor"/>
      </rPr>
      <t>Route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router.get('/overview', authMiddleware, getOverviewHandler) in checkupp-api/src/modules/screenings/screening.routes.ts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</si>
  <si>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Implement Background Cycle Recalculation Service &amp; Schedule Auto-Transition Logic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Auto-Transition Hook</t>
    </r>
    <r>
      <rPr>
        <sz val="11"/>
        <color theme="1"/>
        <rFont val="Calibri"/>
        <family val="2"/>
        <scheme val="minor"/>
      </rPr>
      <t xml:space="preserve">: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inside </t>
    </r>
    <r>
      <rPr>
        <b/>
        <sz val="11"/>
        <color theme="1"/>
        <rFont val="Calibri"/>
        <family val="2"/>
        <scheme val="minor"/>
      </rPr>
      <t>saveScreeningRecord(userId, screeningId, recordPayload)</t>
    </r>
    <r>
      <rPr>
        <sz val="11"/>
        <color theme="1"/>
        <rFont val="Calibri"/>
        <family val="2"/>
        <scheme val="minor"/>
      </rPr>
      <t xml:space="preserve">, after persisting the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record, immediately mark the active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status: 'COMPLETED'</t>
    </r>
    <r>
      <rPr>
        <sz val="11"/>
        <color theme="1"/>
        <rFont val="Calibri"/>
        <family val="2"/>
        <scheme val="minor"/>
      </rPr>
      <t xml:space="preserve">.
2. </t>
    </r>
    <r>
      <rPr>
        <b/>
        <sz val="11"/>
        <color theme="1"/>
        <rFont val="Calibri"/>
        <family val="2"/>
        <scheme val="minor"/>
      </rPr>
      <t>Next Cycle Calculation Engine</t>
    </r>
    <r>
      <rPr>
        <sz val="11"/>
        <color theme="1"/>
        <rFont val="Calibri"/>
        <family val="2"/>
        <scheme val="minor"/>
      </rPr>
      <t xml:space="preserve"> (US 1.6 AC 3):
- Fetch the canonical clinical guideline interval from </t>
    </r>
    <r>
      <rPr>
        <b/>
        <sz val="11"/>
        <color theme="1"/>
        <rFont val="Calibri"/>
        <family val="2"/>
        <scheme val="minor"/>
      </rPr>
      <t>ScreeningDefinition</t>
    </r>
    <r>
      <rPr>
        <sz val="11"/>
        <color theme="1"/>
        <rFont val="Calibri"/>
        <family val="2"/>
        <scheme val="minor"/>
      </rPr>
      <t xml:space="preserve"> (e.g., intervalMonths: 12, 24, or 3).
-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= addMonths(recordPayload.completedDate, intervalMonths)</t>
    </r>
    <r>
      <rPr>
        <sz val="11"/>
        <color theme="1"/>
        <rFont val="Calibri"/>
        <family val="2"/>
        <scheme val="minor"/>
      </rPr>
      <t xml:space="preserve">.
- Create a new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with date: nextDueDate.toISOString()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status: 'PENDING'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Immediate Schedule Reflection</t>
    </r>
    <r>
      <rPr>
        <sz val="11"/>
        <color theme="1"/>
        <rFont val="Calibri"/>
        <family val="2"/>
        <scheme val="minor"/>
      </rPr>
      <t xml:space="preserve">: Ensure any subsequent call to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immediately reflects the newly completed item under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appropriately places the newly generated next cycle item under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based on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</si>
  <si>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checkupp-api/tests/modules/screenings/overview-sorting-and-cycles.test.ts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 xml:space="preserve">)
4.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(Chronological Sorting - US 1.7): Seed 3 Upcoming items (due in +80, +10, +45 days). Assert </t>
    </r>
    <r>
      <rPr>
        <b/>
        <sz val="11"/>
        <color theme="1"/>
        <rFont val="Calibri"/>
        <family val="2"/>
        <scheme val="minor"/>
      </rPr>
      <t>res.body.upcoming</t>
    </r>
    <r>
      <rPr>
        <sz val="11"/>
        <color theme="1"/>
        <rFont val="Calibri"/>
        <family val="2"/>
        <scheme val="minor"/>
      </rPr>
      <t xml:space="preserve"> is ordered: +10, +45, +80.
5.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(Overdue Pinning - US 1.7 AC 2):Seed 2 Due items (+120, +200 days) and 2 Overdue items (-5 days, -30 days). Assert </t>
    </r>
    <r>
      <rPr>
        <b/>
        <sz val="11"/>
        <color theme="1"/>
        <rFont val="Calibri"/>
        <family val="2"/>
        <scheme val="minor"/>
      </rPr>
      <t>res.body.due order</t>
    </r>
    <r>
      <rPr>
        <sz val="11"/>
        <color theme="1"/>
        <rFont val="Calibri"/>
        <family val="2"/>
        <scheme val="minor"/>
      </rPr>
      <t xml:space="preserve">: -30 days (most overdue first), -5 days, +120 days, +200 days.
6.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(Next Cycle Auto-Transition - US 1.6):Execute </t>
    </r>
    <r>
      <rPr>
        <b/>
        <sz val="11"/>
        <color theme="1"/>
        <rFont val="Calibri"/>
        <family val="2"/>
        <scheme val="minor"/>
      </rPr>
      <t>POST /me/screenings/records</t>
    </r>
    <r>
      <rPr>
        <sz val="11"/>
        <color theme="1"/>
        <rFont val="Calibri"/>
        <family val="2"/>
        <scheme val="minor"/>
      </rPr>
      <t xml:space="preserve"> to complete an overdue test with a 12-month interval. </t>
    </r>
    <r>
      <rPr>
        <b/>
        <sz val="11"/>
        <color theme="1"/>
        <rFont val="Calibri"/>
        <family val="2"/>
        <scheme val="minor"/>
      </rPr>
      <t>Execute GET /me/screenings/overview</t>
    </r>
    <r>
      <rPr>
        <sz val="11"/>
        <color theme="1"/>
        <rFont val="Calibri"/>
        <family val="2"/>
        <scheme val="minor"/>
      </rPr>
      <t xml:space="preserve"> -&gt; verify old item is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 new item due in 365 days exists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</si>
  <si>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Extend TanStack Query Client, Hook &amp; Offline Cache Persistence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 xml:space="preserve">checkupp-mobile/lib/features/screenings/overview.ts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
2. Define query key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, implement custom query hook </t>
    </r>
    <r>
      <rPr>
        <b/>
        <sz val="11"/>
        <color theme="1"/>
        <rFont val="Calibri"/>
        <family val="2"/>
        <scheme val="minor"/>
      </rPr>
      <t>useScreeningOverview(userId?: string)</t>
    </r>
    <r>
      <rPr>
        <sz val="11"/>
        <color theme="1"/>
        <rFont val="Calibri"/>
        <family val="2"/>
        <scheme val="minor"/>
      </rPr>
      <t>:
TypeScript
export const useScreeningOverview = (userId?: string) =&gt; {
  return useQuery&lt;ScreeningOverviewResponse, Error&gt;({
    queryKey: ['screenings', 'overview', userId],
    queryFn: async () =&gt; {
      const { data } = await apiClient.get('/me/screenings/overview');
      return data;
    },
    enabled: !!userId,
    staleTime: 1000 * 60 * 5,
    gcTime: 1000 * 60 * 60 * 24, // 24h cache persistence for offline mode
    retry: 1,
  });
};
4. Ensure TanStack Query is configured with AsyncStorage/MMKV persistence so that cached schedule data remains accessible during offline starts (US 1.8).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</si>
  <si>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 &amp; Dynamic Count Badges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landing.</t>
    </r>
  </si>
  <si>
    <t>1.2, 1.3, 1.4, 1.8</t>
  </si>
  <si>
    <r>
      <rPr>
        <b/>
        <sz val="11"/>
        <color theme="1"/>
        <rFont val="Calibri"/>
        <family val="2"/>
        <scheme val="minor"/>
      </rPr>
      <t>Implement Tab FlatList Views, Pull-to-Refresh, Skeleton Loaders &amp; Strict Empty States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checkupp-mobile/components/screening/OverviewSkeletonLoader.tsx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Skeleton Loaders</t>
    </r>
    <r>
      <rPr>
        <sz val="11"/>
        <color theme="1"/>
        <rFont val="Calibri"/>
        <family val="2"/>
        <scheme val="minor"/>
      </rPr>
      <t xml:space="preserve"> (US 1.8 AC 2): Build </t>
    </r>
    <r>
      <rPr>
        <b/>
        <sz val="11"/>
        <color theme="1"/>
        <rFont val="Calibri"/>
        <family val="2"/>
        <scheme val="minor"/>
      </rPr>
      <t>OverviewSkeletonLoader.tsx</t>
    </r>
    <r>
      <rPr>
        <sz val="11"/>
        <color theme="1"/>
        <rFont val="Calibri"/>
        <family val="2"/>
        <scheme val="minor"/>
      </rPr>
      <t xml:space="preserve"> displaying 3 animated gray placeholder cards (bg-gray-200 animate-pulse h-20 rounded-xl mb-3) when </t>
    </r>
    <r>
      <rPr>
        <b/>
        <sz val="11"/>
        <color theme="1"/>
        <rFont val="Calibri"/>
        <family val="2"/>
        <scheme val="minor"/>
      </rPr>
      <t>isLoading === true</t>
    </r>
    <r>
      <rPr>
        <sz val="11"/>
        <color theme="1"/>
        <rFont val="Calibri"/>
        <family val="2"/>
        <scheme val="minor"/>
      </rPr>
      <t xml:space="preserve">.
3. Pull-to-Refresh &amp; Offline Cache Behavior (US 1.8 AC 1, 3): 
- Attach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:
TypeScript&lt;RefreshControl
  refreshing={isRefetching}
  onRefresh={handleRefresh}
  tintColor="#00CED1"
/&gt;
- In </t>
    </r>
    <r>
      <rPr>
        <b/>
        <sz val="11"/>
        <color theme="1"/>
        <rFont val="Calibri"/>
        <family val="2"/>
        <scheme val="minor"/>
      </rPr>
      <t>handleRefresh</t>
    </r>
    <r>
      <rPr>
        <sz val="11"/>
        <color theme="1"/>
        <rFont val="Calibri"/>
        <family val="2"/>
        <scheme val="minor"/>
      </rPr>
      <t>:
- Trigger refetch().
- If offline (!netInfo.isConnected), ensure spinner dismisses within 3 seconds (setTimeout(() =&gt; setIsRefetching(false), 3000)) and trigger snackbar/toast: Exact string required: "</t>
    </r>
    <r>
      <rPr>
        <b/>
        <sz val="11"/>
        <color theme="1"/>
        <rFont val="Calibri"/>
        <family val="2"/>
        <scheme val="minor"/>
      </rPr>
      <t>No internet connection. Showing your last saved schedule.</t>
    </r>
    <r>
      <rPr>
        <sz val="11"/>
        <color theme="1"/>
        <rFont val="Calibri"/>
        <family val="2"/>
        <scheme val="minor"/>
      </rPr>
      <t xml:space="preserve">"
- Keep previously cached cards visible on screen without disruption.
4. </t>
    </r>
    <r>
      <rPr>
        <b/>
        <sz val="11"/>
        <color theme="1"/>
        <rFont val="Calibri"/>
        <family val="2"/>
        <scheme val="minor"/>
      </rPr>
      <t>Strict Empty States</t>
    </r>
    <r>
      <rPr>
        <sz val="11"/>
        <color theme="1"/>
        <rFont val="Calibri"/>
        <family val="2"/>
        <scheme val="minor"/>
      </rPr>
      <t xml:space="preserve"> (US 1.2–1.4 AC):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 and not loading, render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 xml:space="preserve">"
b. </t>
    </r>
    <r>
      <rPr>
        <b/>
        <sz val="11"/>
        <color theme="1"/>
        <rFont val="Calibri"/>
        <family val="2"/>
        <scheme val="minor"/>
      </rPr>
      <t>activeTab === 'due</t>
    </r>
    <r>
      <rPr>
        <sz val="11"/>
        <color theme="1"/>
        <rFont val="Calibri"/>
        <family val="2"/>
        <scheme val="minor"/>
      </rPr>
      <t>' -&gt; 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 xml:space="preserve">"
c.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</si>
  <si>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1.5, 1.6</t>
  </si>
  <si>
    <r>
      <rPr>
        <b/>
        <sz val="11"/>
        <color theme="1"/>
        <rFont val="Calibri"/>
        <family val="2"/>
        <scheme val="minor"/>
      </rPr>
      <t>Implement Offline Cold-Start Empty State Card &amp; Retryable Error Banner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checkupp-mobile/components/screening/OverviewOfflineState.tsx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checkupp-mobile/components/screening/OverviewErrorBanner.tsx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Offline Cold Start Component</t>
    </r>
    <r>
      <rPr>
        <sz val="11"/>
        <color theme="1"/>
        <rFont val="Calibri"/>
        <family val="2"/>
        <scheme val="minor"/>
      </rPr>
      <t xml:space="preserve"> (OverviewOfflineState.tsx):
- When </t>
    </r>
    <r>
      <rPr>
        <b/>
        <sz val="11"/>
        <color theme="1"/>
        <rFont val="Calibri"/>
        <family val="2"/>
        <scheme val="minor"/>
      </rPr>
      <t>isError &amp;&amp; !data</t>
    </r>
    <r>
      <rPr>
        <sz val="11"/>
        <color theme="1"/>
        <rFont val="Calibri"/>
        <family val="2"/>
        <scheme val="minor"/>
      </rPr>
      <t xml:space="preserve"> and network is offline, render an offline empty-state card.
- Display exact string: "</t>
    </r>
    <r>
      <rPr>
        <b/>
        <sz val="11"/>
        <color theme="1"/>
        <rFont val="Calibri"/>
        <family val="2"/>
        <scheme val="minor"/>
      </rPr>
      <t>You're offline. Connect to the internet to load your screenings.</t>
    </r>
    <r>
      <rPr>
        <sz val="11"/>
        <color theme="1"/>
        <rFont val="Calibri"/>
        <family val="2"/>
        <scheme val="minor"/>
      </rPr>
      <t>" (US 1.8 AC 4).
- Render an interactive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 xml:space="preserve">] button that calls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Server Error Banner</t>
    </r>
    <r>
      <rPr>
        <sz val="11"/>
        <color theme="1"/>
        <rFont val="Calibri"/>
        <family val="2"/>
        <scheme val="minor"/>
      </rPr>
      <t xml:space="preserve"> (OverviewErrorBanner.tsx):
- When server returns </t>
    </r>
    <r>
      <rPr>
        <b/>
        <sz val="11"/>
        <color theme="1"/>
        <rFont val="Calibri"/>
        <family val="2"/>
        <scheme val="minor"/>
      </rPr>
      <t>500 Internal Server Error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isError === true</t>
    </r>
    <r>
      <rPr>
        <sz val="11"/>
        <color theme="1"/>
        <rFont val="Calibri"/>
        <family val="2"/>
        <scheme val="minor"/>
      </rPr>
      <t xml:space="preserve">) AND cached </t>
    </r>
    <r>
      <rPr>
        <b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exists:
a. Do not crash or hide cached items (US 1.8 AC 5).
b. Render a top yellow/red retryable error banner: "</t>
    </r>
    <r>
      <rPr>
        <b/>
        <sz val="11"/>
        <color theme="1"/>
        <rFont val="Calibri"/>
        <family val="2"/>
        <scheme val="minor"/>
      </rPr>
      <t>Unable to sync latest schedule. Showing offline copy.</t>
    </r>
    <r>
      <rPr>
        <sz val="11"/>
        <color theme="1"/>
        <rFont val="Calibri"/>
        <family val="2"/>
        <scheme val="minor"/>
      </rPr>
      <t>" with a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>] link.</t>
    </r>
  </si>
  <si>
    <r>
      <rPr>
        <b/>
        <sz val="11"/>
        <color theme="1"/>
        <rFont val="Calibri"/>
        <family val="2"/>
        <scheme val="minor"/>
      </rPr>
      <t>Automated Jest Frontend Test Suite for Overview Workflows, Pull-to-Refresh, Offline States &amp; Modal Actions</t>
    </r>
    <r>
      <rPr>
        <sz val="11"/>
        <color theme="1"/>
        <rFont val="Calibri"/>
        <family val="2"/>
        <scheme val="minor"/>
      </rPr>
      <t xml:space="preserve">
1.  Create </t>
    </r>
    <r>
      <rPr>
        <b/>
        <sz val="11"/>
        <color theme="1"/>
        <rFont val="Calibri"/>
        <family val="2"/>
        <scheme val="minor"/>
      </rPr>
      <t>checkupp-mobile/tests/screenings/healthOverviewEpicWorkflows.test.js</t>
    </r>
    <r>
      <rPr>
        <sz val="11"/>
        <color theme="1"/>
        <rFont val="Calibri"/>
        <family val="2"/>
        <scheme val="minor"/>
      </rPr>
      <t xml:space="preserve">
1.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Router, NetInfo, and TanStack Query.
-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(Tab Counts &amp; Chronological Order - US 1.1, 1.7):
a. Verify tab titles render Upcoming (2), Due (2), Completed (1).
b. Verify Due tab renders Overdue card at index 0 with red #EF4444 styling and "OVERDUE" badge.
-</t>
    </r>
    <r>
      <rPr>
        <b/>
        <sz val="11"/>
        <color theme="1"/>
        <rFont val="Calibri"/>
        <family val="2"/>
        <scheme val="minor"/>
      </rPr>
      <t xml:space="preserve"> Test Case 2</t>
    </r>
    <r>
      <rPr>
        <sz val="11"/>
        <color theme="1"/>
        <rFont val="Calibri"/>
        <family val="2"/>
        <scheme val="minor"/>
      </rPr>
      <t xml:space="preserve"> (Decision Modal &amp; Routing - US 1.5):
a. Simulate tap on upcoming card. Assert modal appears with exact text "Have you had this screening?".
b. Simulate press on "Yes". Assert router.push is called with form parameters.
-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(Offline Cache &amp; Refresh - US 1.8):
- Simulate offline network state + pull-to-refresh. Assert spinner dismisses within 3000ms and toast "No internet connection. Showing your last saved schedule." is rendered.
-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(Offline Cold Start - US 1.8):
a. Simulate offline network + data: undefined. Assert exact text "You're offline. Connect to the internet to load your screenings." is rendered.
-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(Empty State Exact Strings - US 1.2–1.4):
a. Pass empty arrays for all 3 tabs. Assert exact strings:
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</si>
  <si>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1.1, 1.2, 1.3, 1.4, 1.5, 1.6, 1.7, 1.8</t>
  </si>
  <si>
    <r>
      <rPr>
        <b/>
        <sz val="11"/>
        <color theme="1"/>
        <rFont val="Calibri"/>
        <family val="2"/>
        <scheme val="minor"/>
      </rPr>
      <t xml:space="preserve">Define Prisma Schema Models, TypeScript Interfaces &amp; Joi Validation Schemas for Custom Conditions
1. </t>
    </r>
    <r>
      <rPr>
        <sz val="11"/>
        <color theme="1"/>
        <rFont val="Calibri"/>
        <family val="2"/>
        <scheme val="minor"/>
      </rPr>
      <t xml:space="preserve">Modify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checkupp-api/src/modules/screenings/screening.validation.ts
2. Prisma Schema</t>
    </r>
    <r>
      <rPr>
        <sz val="11"/>
        <color theme="1"/>
        <rFont val="Calibri"/>
        <family val="2"/>
        <scheme val="minor"/>
      </rPr>
      <t xml:space="preserve"> (schema.prisma):
- Add </t>
    </r>
    <r>
      <rPr>
        <b/>
        <sz val="11"/>
        <color theme="1"/>
        <rFont val="Calibri"/>
        <family val="2"/>
        <scheme val="minor"/>
      </rPr>
      <t>CustomCondition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</t>
    </r>
    <r>
      <rPr>
        <sz val="11"/>
        <color theme="1"/>
        <rFont val="Calibri"/>
        <family val="2"/>
        <scheme val="minor"/>
      </rPr>
      <t xml:space="preserve"> models with strict tenant isolation (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indexed FK):
model CustomCondition {
  id              String                  @id @default(uuid())
  userId          String
  conditionName   String
  monitoringType  String                  // e.g. "Blood test", "Imaging/ Radiology", "Other: [custom]"
  frequencyType   String                  // "Monthly" | "Every 3 Months" | "Every 6 Months" | "Annually" | "Custom"
  customInterval  Int?                    // Numeric stepper value when frequencyType == "Custom"
  customUnit      String?                 // "Days" | "Months" | "Years"
  careProvider    String
  createdAt       DateTime                @default(now())
  updatedAt       DateTime                @updatedAt
  records         CustomConditionRecord[]
  @@index([userId])
}
model CustomConditionRecord {
  id                 String          @id @default(uuid())
  customConditionId  String
  userId             String
  checkDate          DateTime
  outcomeNotes       String?
  createdAt          DateTime        @default(now())
  customCondition    CustomCondition @relation(fields: [customConditionId], references: [id], onDelete: Cascade)
  @@index([customConditionId])
  @@index([userId])
}
2. </t>
    </r>
    <r>
      <rPr>
        <b/>
        <sz val="11"/>
        <color theme="1"/>
        <rFont val="Calibri"/>
        <family val="2"/>
        <scheme val="minor"/>
      </rPr>
      <t>Canonical TypeScript Interfaces</t>
    </r>
    <r>
      <rPr>
        <sz val="11"/>
        <color theme="1"/>
        <rFont val="Calibri"/>
        <family val="2"/>
        <scheme val="minor"/>
      </rPr>
      <t xml:space="preserve"> (screening.constants.ts): Export matching DTO types </t>
    </r>
    <r>
      <rPr>
        <b/>
        <sz val="11"/>
        <color theme="1"/>
        <rFont val="Calibri"/>
        <family val="2"/>
        <scheme val="minor"/>
      </rPr>
      <t>CustomConditionItem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CustomConditionRecordPayload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Joi Validation Schemas</t>
    </r>
    <r>
      <rPr>
        <sz val="11"/>
        <color theme="1"/>
        <rFont val="Calibri"/>
        <family val="2"/>
        <scheme val="minor"/>
      </rPr>
      <t xml:space="preserve"> (screening.validation.ts):
- Define </t>
    </r>
    <r>
      <rPr>
        <b/>
        <sz val="11"/>
        <color theme="1"/>
        <rFont val="Calibri"/>
        <family val="2"/>
        <scheme val="minor"/>
      </rPr>
      <t>createCustomConditionSchema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conditionName</t>
    </r>
    <r>
      <rPr>
        <sz val="11"/>
        <color theme="1"/>
        <rFont val="Calibri"/>
        <family val="2"/>
        <scheme val="minor"/>
      </rPr>
      <t xml:space="preserve">: required non-empty string (&lt;= 100 chars).
b. </t>
    </r>
    <r>
      <rPr>
        <b/>
        <sz val="11"/>
        <color theme="1"/>
        <rFont val="Calibri"/>
        <family val="2"/>
        <scheme val="minor"/>
      </rPr>
      <t>monitoringType</t>
    </r>
    <r>
      <rPr>
        <sz val="11"/>
        <color theme="1"/>
        <rFont val="Calibri"/>
        <family val="2"/>
        <scheme val="minor"/>
      </rPr>
      <t>: required string.
c. f</t>
    </r>
    <r>
      <rPr>
        <b/>
        <sz val="11"/>
        <color theme="1"/>
        <rFont val="Calibri"/>
        <family val="2"/>
        <scheme val="minor"/>
      </rPr>
      <t>requencyType</t>
    </r>
    <r>
      <rPr>
        <sz val="11"/>
        <color theme="1"/>
        <rFont val="Calibri"/>
        <family val="2"/>
        <scheme val="minor"/>
      </rPr>
      <t xml:space="preserve">: required enum (['Monthly', 'Every 3 Months', 'Every 6 Months', 'Annually', 'Custom']).
d.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: required positive integer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, optional otherwise.
e.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: required enum (['Days', 'Months', 'Years'])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.
f. </t>
    </r>
    <r>
      <rPr>
        <b/>
        <sz val="11"/>
        <color theme="1"/>
        <rFont val="Calibri"/>
        <family val="2"/>
        <scheme val="minor"/>
      </rPr>
      <t>careProvider</t>
    </r>
    <r>
      <rPr>
        <sz val="11"/>
        <color theme="1"/>
        <rFont val="Calibri"/>
        <family val="2"/>
        <scheme val="minor"/>
      </rPr>
      <t xml:space="preserve">: required non-empty string &lt; 100 chars).
- Define </t>
    </r>
    <r>
      <rPr>
        <b/>
        <sz val="11"/>
        <color theme="1"/>
        <rFont val="Calibri"/>
        <family val="2"/>
        <scheme val="minor"/>
      </rPr>
      <t>logCustomConditionRecordSchema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checkDate</t>
    </r>
    <r>
      <rPr>
        <sz val="11"/>
        <color theme="1"/>
        <rFont val="Calibri"/>
        <family val="2"/>
        <scheme val="minor"/>
      </rPr>
      <t xml:space="preserve">: required ISO-8601 UTC date string &lt;= current system date).
b. </t>
    </r>
    <r>
      <rPr>
        <b/>
        <sz val="11"/>
        <color theme="1"/>
        <rFont val="Calibri"/>
        <family val="2"/>
        <scheme val="minor"/>
      </rPr>
      <t>outcomeNotes</t>
    </r>
    <r>
      <rPr>
        <sz val="11"/>
        <color theme="1"/>
        <rFont val="Calibri"/>
        <family val="2"/>
        <scheme val="minor"/>
      </rPr>
      <t>: optional string &lt;= 2000$ chars).</t>
    </r>
  </si>
  <si>
    <r>
      <rPr>
        <b/>
        <sz val="11"/>
        <color theme="1"/>
        <rFont val="Calibri"/>
        <family val="2"/>
        <scheme val="minor"/>
      </rPr>
      <t>Implement POST /me/screenings/custom-conditions &amp; GET /me/screenings/custom-conditions CRUD Endpoints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checkupp-api/src/modules/screenings/screening.routes.ts</t>
    </r>
    <r>
      <rPr>
        <sz val="11"/>
        <color theme="1"/>
        <rFont val="Calibri"/>
        <family val="2"/>
        <scheme val="minor"/>
      </rPr>
      <t xml:space="preserve">
1. </t>
    </r>
    <r>
      <rPr>
        <b/>
        <sz val="11"/>
        <color theme="1"/>
        <rFont val="Calibri"/>
        <family val="2"/>
        <scheme val="minor"/>
      </rPr>
      <t>Service Implementation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createCustomCondition(userId: string, payload: CreateCustomConditionDTO): Promise&lt;CustomConditionItem&gt;</t>
    </r>
    <r>
      <rPr>
        <sz val="11"/>
        <color theme="1"/>
        <rFont val="Calibri"/>
        <family val="2"/>
        <scheme val="minor"/>
      </rPr>
      <t xml:space="preserve"> storing the entity in </t>
    </r>
    <r>
      <rPr>
        <b/>
        <sz val="11"/>
        <color theme="1"/>
        <rFont val="Calibri"/>
        <family val="2"/>
        <scheme val="minor"/>
      </rPr>
      <t>prisma.customCondition</t>
    </r>
    <r>
      <rPr>
        <sz val="11"/>
        <color theme="1"/>
        <rFont val="Calibri"/>
        <family val="2"/>
        <scheme val="minor"/>
      </rPr>
      <t xml:space="preserve">.
- Implement </t>
    </r>
    <r>
      <rPr>
        <b/>
        <sz val="11"/>
        <color theme="1"/>
        <rFont val="Calibri"/>
        <family val="2"/>
        <scheme val="minor"/>
      </rPr>
      <t>getUserCustomConditions(userId: string): Promise&lt;CustomConditionItem[]&gt;</t>
    </r>
    <r>
      <rPr>
        <sz val="11"/>
        <color theme="1"/>
        <rFont val="Calibri"/>
        <family val="2"/>
        <scheme val="minor"/>
      </rPr>
      <t xml:space="preserve"> fetching all conditions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>, including the most recent associated record (</t>
    </r>
    <r>
      <rPr>
        <b/>
        <sz val="11"/>
        <color theme="1"/>
        <rFont val="Calibri"/>
        <family val="2"/>
        <scheme val="minor"/>
      </rPr>
      <t>records: { orderBy: { checkDate: 'desc' }, take: 1 }</t>
    </r>
    <r>
      <rPr>
        <sz val="11"/>
        <color theme="1"/>
        <rFont val="Calibri"/>
        <family val="2"/>
        <scheme val="minor"/>
      </rPr>
      <t>) to supply the "</t>
    </r>
    <r>
      <rPr>
        <b/>
        <sz val="11"/>
        <color theme="1"/>
        <rFont val="Calibri"/>
        <family val="2"/>
        <scheme val="minor"/>
      </rPr>
      <t>Last: [Date]</t>
    </r>
    <r>
      <rPr>
        <sz val="11"/>
        <color theme="1"/>
        <rFont val="Calibri"/>
        <family val="2"/>
        <scheme val="minor"/>
      </rPr>
      <t xml:space="preserve">" timestamp to the UI.
2. </t>
    </r>
    <r>
      <rPr>
        <b/>
        <sz val="11"/>
        <color theme="1"/>
        <rFont val="Calibri"/>
        <family val="2"/>
        <scheme val="minor"/>
      </rPr>
      <t>Controller &amp; Router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add </t>
    </r>
    <r>
      <rPr>
        <b/>
        <sz val="11"/>
        <color theme="1"/>
        <rFont val="Calibri"/>
        <family val="2"/>
        <scheme val="minor"/>
      </rPr>
      <t>createCustomConditionHandler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getCustomConditionsHandler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register:
a. </t>
    </r>
    <r>
      <rPr>
        <b/>
        <sz val="11"/>
        <color theme="1"/>
        <rFont val="Calibri"/>
        <family val="2"/>
        <scheme val="minor"/>
      </rPr>
      <t>router.post('/custom-conditions', authMiddleware, validate(createCustomConditionSchema), createCustomConditionHandler)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router.get('/custom-conditions', authMiddleware, getCustomConditionsHandler)</t>
    </r>
    <r>
      <rPr>
        <sz val="11"/>
        <color theme="1"/>
        <rFont val="Calibri"/>
        <family val="2"/>
        <scheme val="minor"/>
      </rPr>
      <t xml:space="preserve">
3. </t>
    </r>
    <r>
      <rPr>
        <b/>
        <sz val="11"/>
        <color theme="1"/>
        <rFont val="Calibri"/>
        <family val="2"/>
        <scheme val="minor"/>
      </rPr>
      <t>Audit Logging</t>
    </r>
    <r>
      <rPr>
        <sz val="11"/>
        <color theme="1"/>
        <rFont val="Calibri"/>
        <family val="2"/>
        <scheme val="minor"/>
      </rPr>
      <t xml:space="preserve">:
- Trigger immutable audit event </t>
    </r>
    <r>
      <rPr>
        <b/>
        <sz val="11"/>
        <color theme="1"/>
        <rFont val="Calibri"/>
        <family val="2"/>
        <scheme val="minor"/>
      </rPr>
      <t>CREATE_CUSTOM_CONDITION</t>
    </r>
    <r>
      <rPr>
        <sz val="11"/>
        <color theme="1"/>
        <rFont val="Calibri"/>
        <family val="2"/>
        <scheme val="minor"/>
      </rPr>
      <t xml:space="preserve"> via </t>
    </r>
    <r>
      <rPr>
        <b/>
        <sz val="11"/>
        <color theme="1"/>
        <rFont val="Calibri"/>
        <family val="2"/>
        <scheme val="minor"/>
      </rPr>
      <t>audit.service.ts</t>
    </r>
    <r>
      <rPr>
        <sz val="11"/>
        <color theme="1"/>
        <rFont val="Calibri"/>
        <family val="2"/>
        <scheme val="minor"/>
      </rPr>
      <t xml:space="preserve"> upon successful creation.</t>
    </r>
  </si>
  <si>
    <t>18.2, 18.3, 18.4</t>
  </si>
  <si>
    <t>18.1, 18.2, 18.3, 18.4, 18.5</t>
  </si>
  <si>
    <r>
      <rPr>
        <b/>
        <sz val="11"/>
        <color theme="1"/>
        <rFont val="Calibri"/>
        <family val="2"/>
        <scheme val="minor"/>
      </rPr>
      <t>Implement POST /me/screenings/custom-conditions/:id/records Outcome Logging &amp; Due-Date Advancement Engine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Outcome Logging Service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logCustomConditionRecord(userId: string, customConditionId: string, payload: CustomRecordPayload)</t>
    </r>
    <r>
      <rPr>
        <sz val="11"/>
        <color theme="1"/>
        <rFont val="Calibri"/>
        <family val="2"/>
        <scheme val="minor"/>
      </rPr>
      <t xml:space="preserve">:
a. Verify </t>
    </r>
    <r>
      <rPr>
        <b/>
        <sz val="11"/>
        <color theme="1"/>
        <rFont val="Calibri"/>
        <family val="2"/>
        <scheme val="minor"/>
      </rPr>
      <t>prisma.customCondition.findFirst({ where: { id: customConditionId, userId } })</t>
    </r>
    <r>
      <rPr>
        <sz val="11"/>
        <color theme="1"/>
        <rFont val="Calibri"/>
        <family val="2"/>
        <scheme val="minor"/>
      </rPr>
      <t xml:space="preserve"> exists </t>
    </r>
    <r>
      <rPr>
        <b/>
        <sz val="11"/>
        <color theme="1"/>
        <rFont val="Calibri"/>
        <family val="2"/>
        <scheme val="minor"/>
      </rPr>
      <t>(return 404 NotFoundError</t>
    </r>
    <r>
      <rPr>
        <sz val="11"/>
        <color theme="1"/>
        <rFont val="Calibri"/>
        <family val="2"/>
        <scheme val="minor"/>
      </rPr>
      <t xml:space="preserve"> if unauthorized/missing).
b. Insert row into prisma.customConditionRecord.
3. </t>
    </r>
    <r>
      <rPr>
        <b/>
        <sz val="11"/>
        <color theme="1"/>
        <rFont val="Calibri"/>
        <family val="2"/>
        <scheme val="minor"/>
      </rPr>
      <t>Scheduling Engine Integration</t>
    </r>
    <r>
      <rPr>
        <sz val="11"/>
        <color theme="1"/>
        <rFont val="Calibri"/>
        <family val="2"/>
        <scheme val="minor"/>
      </rPr>
      <t xml:space="preserve">:
a.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relative to </t>
    </r>
    <r>
      <rPr>
        <b/>
        <sz val="11"/>
        <color theme="1"/>
        <rFont val="Calibri"/>
        <family val="2"/>
        <scheme val="minor"/>
      </rPr>
      <t>payload.checkDate</t>
    </r>
    <r>
      <rPr>
        <sz val="11"/>
        <color theme="1"/>
        <rFont val="Calibri"/>
        <family val="2"/>
        <scheme val="minor"/>
      </rPr>
      <t xml:space="preserve"> based on frequency:
- Monthly: addMonths(checkDate, 1)
- Every 3 Months: addMonths(checkDate, 3)
- Every 6 Months: addMonths(checkDate, 6)
- Annually: addYears(checkDate, 1)
- Custom: add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 according to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 (Days, Months, or Years).
b. Ensure the custom condition item reflects this updated schedule when queried.
4. </t>
    </r>
    <r>
      <rPr>
        <b/>
        <sz val="11"/>
        <color theme="1"/>
        <rFont val="Calibri"/>
        <family val="2"/>
        <scheme val="minor"/>
      </rPr>
      <t>Router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router.post('/custom-conditions/:id/records', authMiddleware, validate(logCustomConditionRecordSchema), logCustomConditionRecordHandler)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</si>
  <si>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Jest Unit &amp; Integration Test Suite for Custom Condition Creation, Frequency Math &amp; Outcome Logging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 xml:space="preserve">checkupp-api/tests/modules/screenings/customConditions.test.ts
2. </t>
    </r>
    <r>
      <rPr>
        <sz val="11"/>
        <color theme="1"/>
        <rFont val="Calibri"/>
        <family val="2"/>
        <scheme val="minor"/>
      </rPr>
      <t xml:space="preserve">Setup Jest + supertest against the Express server seeded with mock user user-test-uuid.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(Creation - US 18.2, 18.3): Send valid payload with "Custom" frequency (customInterval: 45, customUnit: 'Days'). Assert HTTP 201 Created and database persistence.
4. </t>
    </r>
    <r>
      <rPr>
        <b/>
        <sz val="11"/>
        <color theme="1"/>
        <rFont val="Calibri"/>
        <family val="2"/>
        <scheme val="minor"/>
      </rPr>
      <t xml:space="preserve">Test Case 2 </t>
    </r>
    <r>
      <rPr>
        <sz val="11"/>
        <color theme="1"/>
        <rFont val="Calibri"/>
        <family val="2"/>
        <scheme val="minor"/>
      </rPr>
      <t xml:space="preserve">(Validation Rejection - US 18.2 AC 10): Omit careProvider or send empty conditionName. Assert HTTP 400 Bad Request.
5.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(Outcome Logging &amp; Latest Date - US 18.5):
- POST an outcome record with checkDate: "2026-08-02T00:00:00.000Z".
- Execute GET /me/screenings/custom-conditions and verify the payload returns the latest record check date to support green badge UI rendering.
6.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(Tenant Isolation): Verify another user's JWT token receives 404 when attempting to log an outcome against user-test-uuid's custom condition ID.</t>
    </r>
  </si>
  <si>
    <r>
      <rPr>
        <b/>
        <sz val="11"/>
        <color theme="1"/>
        <rFont val="Calibri"/>
        <family val="2"/>
        <scheme val="minor"/>
      </rPr>
      <t xml:space="preserve">Build SpecificConditionsTriggerCard.tsx Action Component &amp; Import into Health Checks Screening Tab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>checkupp-mobile/components/screening/SpecificConditionsTriggerCard.tsx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checkupp-mobile/app/(tabs)/health-screening.tsx
2. Build Trigger Card </t>
    </r>
    <r>
      <rPr>
        <sz val="11"/>
        <color theme="1"/>
        <rFont val="Calibri"/>
        <family val="2"/>
        <scheme val="minor"/>
      </rPr>
      <t xml:space="preserve">(SpecificConditionsTriggerCard.tsx): 
- Create a modular functional React Native component styled with a clean white card border (bg-white rounded-xl border border-gray-100 p-4 mb-4).
- Render button/tab title: "Specific Conditions" in Poppins-SemiBold (font-psemibold).
- Render exact subtext (US 18.1 AC 2): "Uncommon, rare and specific conditions to me" in neutral gray (text-gray-500 font-pregular text-xs).
- Render an add icon (+) indicator on the right side using @expo/vector-icons/Ionicons (add-circle-outline or add icon with primary cyan #00CED1 tint) (US 18.1 AC 3).
- Accept prop: onPress: () =&gt; void. Wrap card in TouchableOpacity with accessible touch target (&gt;= 44px height).
2. </t>
    </r>
    <r>
      <rPr>
        <b/>
        <sz val="11"/>
        <color theme="1"/>
        <rFont val="Calibri"/>
        <family val="2"/>
        <scheme val="minor"/>
      </rPr>
      <t>Integrate into Screen</t>
    </r>
    <r>
      <rPr>
        <sz val="11"/>
        <color theme="1"/>
        <rFont val="Calibri"/>
        <family val="2"/>
        <scheme val="minor"/>
      </rPr>
      <t xml:space="preserve"> (health-screening.tsx):
- Import SpecificConditionsTriggerCard.
- Render it at the top of the "Available Health Checks" list when the "Health Checks" top tab is active.
- Attach onPress={() =&gt; setIsAddModalVisible(true)} to open the bottom sheet created.</t>
    </r>
  </si>
  <si>
    <r>
      <rPr>
        <b/>
        <sz val="11"/>
        <color theme="1"/>
        <rFont val="Calibri"/>
        <family val="2"/>
        <scheme val="minor"/>
      </rPr>
      <t>Build AddSpecificConditionModal.tsx Bottom Sheet Form with Dynamic Conditional Fields &amp; Validation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checkupp-mobile/components/screening/AddSpecificConditionModal.tsx</t>
    </r>
    <r>
      <rPr>
        <sz val="11"/>
        <color theme="1"/>
        <rFont val="Calibri"/>
        <family val="2"/>
        <scheme val="minor"/>
      </rPr>
      <t xml:space="preserve">
2. Modal Scaffold: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(checkupp-mobile/components/screening/shared/modals/BaseModal.tsx) configured as a bottom sheet.
- Title: "</t>
    </r>
    <r>
      <rPr>
        <b/>
        <sz val="11"/>
        <color theme="1"/>
        <rFont val="Calibri"/>
        <family val="2"/>
        <scheme val="minor"/>
      </rPr>
      <t>Add Specific Condition</t>
    </r>
    <r>
      <rPr>
        <sz val="11"/>
        <color theme="1"/>
        <rFont val="Calibri"/>
        <family val="2"/>
        <scheme val="minor"/>
      </rPr>
      <t xml:space="preserve">".
3. </t>
    </r>
    <r>
      <rPr>
        <b/>
        <sz val="11"/>
        <color theme="1"/>
        <rFont val="Calibri"/>
        <family val="2"/>
        <scheme val="minor"/>
      </rPr>
      <t>Form State &amp; Essential Inputs</t>
    </r>
    <r>
      <rPr>
        <sz val="11"/>
        <color theme="1"/>
        <rFont val="Calibri"/>
        <family val="2"/>
        <scheme val="minor"/>
      </rPr>
      <t xml:space="preserve"> (US 18.2 AC 1–4):
- </t>
    </r>
    <r>
      <rPr>
        <b/>
        <sz val="11"/>
        <color theme="1"/>
        <rFont val="Calibri"/>
        <family val="2"/>
        <scheme val="minor"/>
      </rPr>
      <t>Condition or Diagnosis</t>
    </r>
    <r>
      <rPr>
        <sz val="11"/>
        <color theme="1"/>
        <rFont val="Calibri"/>
        <family val="2"/>
        <scheme val="minor"/>
      </rPr>
      <t xml:space="preserve">: Free-text input (InputField.tsx).
- </t>
    </r>
    <r>
      <rPr>
        <b/>
        <sz val="11"/>
        <color theme="1"/>
        <rFont val="Calibri"/>
        <family val="2"/>
        <scheme val="minor"/>
      </rPr>
      <t>Monitoring Type</t>
    </r>
    <r>
      <rPr>
        <sz val="11"/>
        <color theme="1"/>
        <rFont val="Calibri"/>
        <family val="2"/>
        <scheme val="minor"/>
      </rPr>
      <t xml:space="preserve">: Dropdown selector (Picker.tsx) with options: "Blood test", "Imaging/ Radiology", "Doctor Review", "Endoscopy", "Other...".
- </t>
    </r>
    <r>
      <rPr>
        <b/>
        <sz val="11"/>
        <color theme="1"/>
        <rFont val="Calibri"/>
        <family val="2"/>
        <scheme val="minor"/>
      </rPr>
      <t>How Often?</t>
    </r>
    <r>
      <rPr>
        <sz val="11"/>
        <color theme="1"/>
        <rFont val="Calibri"/>
        <family val="2"/>
        <scheme val="minor"/>
      </rPr>
      <t xml:space="preserve">: Multi-choice selectable chips ("Monthly", "Every 3 Months", "Every 6 Months", "Annually", "Custom...").
- </t>
    </r>
    <r>
      <rPr>
        <b/>
        <sz val="11"/>
        <color theme="1"/>
        <rFont val="Calibri"/>
        <family val="2"/>
        <scheme val="minor"/>
      </rPr>
      <t>Doctor or Care Provider</t>
    </r>
    <r>
      <rPr>
        <sz val="11"/>
        <color theme="1"/>
        <rFont val="Calibri"/>
        <family val="2"/>
        <scheme val="minor"/>
      </rPr>
      <t xml:space="preserve">: Free-text input (InputField.tsx).
4. </t>
    </r>
    <r>
      <rPr>
        <b/>
        <sz val="11"/>
        <color theme="1"/>
        <rFont val="Calibri"/>
        <family val="2"/>
        <scheme val="minor"/>
      </rPr>
      <t>Conditional Dynamic UI Rendering</t>
    </r>
    <r>
      <rPr>
        <sz val="11"/>
        <color theme="1"/>
        <rFont val="Calibri"/>
        <family val="2"/>
        <scheme val="minor"/>
      </rPr>
      <t xml:space="preserve"> (US 18.2 AC 7, 8):
- When monitoringType === 'Other...': Render an additional free-text field labeled "Specify Monitoring Type".
- When frequencyType === 'Custom...': Render:
a. An engraved numeric stepper control (InputField.tsx with up/down chevrons chevron-up and chevron-down incrementing/decrementing customInterval by 1, minimum 1).
b. A secondary dropdown (Picker.tsx) with options: "Days", "Months", "Years".
5. </t>
    </r>
    <r>
      <rPr>
        <b/>
        <sz val="11"/>
        <color theme="1"/>
        <rFont val="Calibri"/>
        <family val="2"/>
        <scheme val="minor"/>
      </rPr>
      <t>Strict Mandatory Field Validation</t>
    </r>
    <r>
      <rPr>
        <sz val="11"/>
        <color theme="1"/>
        <rFont val="Calibri"/>
        <family val="2"/>
        <scheme val="minor"/>
      </rPr>
      <t xml:space="preserve"> (US 18.2 AC 10):
- Compute isFormValid: true only when condition name, monitoring type (plus custom specification if "Other..."), frequency (plus numeric interval/unit if "Custom..."), and doctor provider are all non-empty.
- Keep the primary "Save" button visually disabled (opacity-50) and untappable (disabled={!isFormValid}) until validation passes.
- When clicked, trigger callback onSave(formData) to open the confirmation modal.</t>
    </r>
  </si>
  <si>
    <r>
      <rPr>
        <b/>
        <sz val="11"/>
        <color theme="1"/>
        <rFont val="Calibri"/>
        <family val="2"/>
        <scheme val="minor"/>
      </rPr>
      <t xml:space="preserve">Automated Jest Test Suite for Specific Conditions Trigger, Conditional Form Inputs, Modals &amp; Outcome Badges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 xml:space="preserve">checkupp-mobile/tests/screenings/specificConditionsLifecycle.test.js
</t>
    </r>
    <r>
      <rPr>
        <sz val="11"/>
        <color theme="1"/>
        <rFont val="Calibri"/>
        <family val="2"/>
        <scheme val="minor"/>
      </rPr>
      <t xml:space="preserve">2.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 and TanStack Query.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(Trigger Card &amp; Subtext - US 18.1):Assert "Specific Conditions" card renders exact subtext "Uncommon, rare and specific conditions to me" and + icon.
3.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(Conditional Form Inputs &amp; Validation - US 18.2):Open bottom sheet. Select "Other..." monitoring -&gt; verify free-text specification field appears.Select "Custom..." frequency -&gt; verify numeric stepper chevrons and unit dropdown appear.Assert "Save" button is disabled until all required fields contain text.
4.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(Summary Confirmation &amp; Back to Editing - US 18.3):Fill valid form and click Save. Verify summary modal displays matching data.Click "Back to Editing" -&gt; assert summary modal closes and bottom sheet form inputs retain typed text.
5.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(Card Styling &amp; Green Outcome Pill Badge - US 18.4, 18.5):Render CustomConditionCard with mock latestRecordDate: "2026-08-02T00:00:00.000Z".Assert green pill badge is rendered with exact text "Last: 02 Aug 2026" and #15803D green text class.
6.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(Decision Modal &amp; Booking Navigation - US 18.4):Simulate tap on custom condition card -&gt; assert "Have you had this screening?" decision modal opens.Click "No" -&gt;assert appointment booking flow is invoked. Click "Yes" -&gt; assert LogSpecificConditionModal is invoked.</t>
    </r>
  </si>
  <si>
    <t>18.4, 18.5</t>
  </si>
  <si>
    <r>
      <rPr>
        <b/>
        <sz val="11"/>
        <color theme="1"/>
        <rFont val="Calibri"/>
        <family val="2"/>
        <scheme val="minor"/>
      </rPr>
      <t>Build ConfirmSpecificConditionModal.tsx Summary Dialog &amp; Connect TanStack Query Submission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checkupp-mobile/components/screening/ConfirmSpecificConditionModal.tsx</t>
    </r>
    <r>
      <rPr>
        <sz val="11"/>
        <color theme="1"/>
        <rFont val="Calibri"/>
        <family val="2"/>
        <scheme val="minor"/>
      </rPr>
      <t xml:space="preserve">, Modify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TanStack Query Mutation</t>
    </r>
    <r>
      <rPr>
        <sz val="11"/>
        <color theme="1"/>
        <rFont val="Calibri"/>
        <family val="2"/>
        <scheme val="minor"/>
      </rPr>
      <t xml:space="preserve"> (mutations.ts):
- Implement useCreateCustomConditionMutation() calling apiClient.post('/me/screenings/custom-conditions', payload).
- On success, invalidate query key ['screenings', 'custom-conditions'] and ['screenings', 'overview'].
3. </t>
    </r>
    <r>
      <rPr>
        <b/>
        <sz val="11"/>
        <color theme="1"/>
        <rFont val="Calibri"/>
        <family val="2"/>
        <scheme val="minor"/>
      </rPr>
      <t>Build Confirmation Modal</t>
    </r>
    <r>
      <rPr>
        <sz val="11"/>
        <color theme="1"/>
        <rFont val="Calibri"/>
        <family val="2"/>
        <scheme val="minor"/>
      </rPr>
      <t xml:space="preserve"> (ConfirmSpecificConditionModal.tsx):
- Render a centered popup modal displaying a clear summary of all entered fields: Condition Name, Monitoring Type, Frequency, and Care Provider.
- Render two accessible CTA buttons (US 18.3 AC 3–5):
a.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 xml:space="preserve"> Button: "Submit" (solid #00CED1 background). Clicking triggers mutate(formData). On success, close both the summary modal and bottom sheet, adding the new card to the list.
b.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 Button: "Back to Editing" (outlined button). Clicking closes ConfirmSpecificConditionModal while keeping AddSpecificConditionModal open with all form state preserved intact.</t>
    </r>
  </si>
  <si>
    <t>Needs Review</t>
  </si>
  <si>
    <t>Date</t>
  </si>
  <si>
    <t>View Upcoming Screenings</t>
  </si>
  <si>
    <r>
      <rPr>
        <b/>
        <sz val="11"/>
        <color theme="1"/>
        <rFont val="Calibri"/>
        <family val="2"/>
        <scheme val="minor"/>
      </rPr>
      <t>Integrate "Have you had this screening?" Decision Modal &amp; Routing to Existing Forms/Booking Modal (DO THIS LIKE IT IS DONE IN OTHER EXISTING SCREENINGS)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checkupp-mobile/components/screening/ScreeningDecisionModal.tsx and 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Build Decision Modal</t>
    </r>
    <r>
      <rPr>
        <sz val="11"/>
        <color theme="1"/>
        <rFont val="Calibri"/>
        <family val="2"/>
        <scheme val="minor"/>
      </rPr>
      <t xml:space="preserve"> (ScreeningDecisionModal.tsx):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checkupp-mobile/components/screening/shared/modals/BaseModal.tsx</t>
    </r>
    <r>
      <rPr>
        <sz val="11"/>
        <color theme="1"/>
        <rFont val="Calibri"/>
        <family val="2"/>
        <scheme val="minor"/>
      </rPr>
      <t xml:space="preserve">).
- Props: </t>
    </r>
    <r>
      <rPr>
        <b/>
        <sz val="11"/>
        <color theme="1"/>
        <rFont val="Calibri"/>
        <family val="2"/>
        <scheme val="minor"/>
      </rPr>
      <t>visible: boolean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item: ScreeningOverviewItem | null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onClose: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onSelectYes: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onSelectNo: () =&gt; void.</t>
    </r>
    <r>
      <rPr>
        <sz val="11"/>
        <color theme="1"/>
        <rFont val="Calibri"/>
        <family val="2"/>
        <scheme val="minor"/>
      </rPr>
      <t xml:space="preserve">
- Display the screening name (</t>
    </r>
    <r>
      <rPr>
        <b/>
        <sz val="11"/>
        <color theme="1"/>
        <rFont val="Calibri"/>
        <family val="2"/>
        <scheme val="minor"/>
      </rPr>
      <t>item?.name</t>
    </r>
    <r>
      <rPr>
        <sz val="11"/>
        <color theme="1"/>
        <rFont val="Calibri"/>
        <family val="2"/>
        <scheme val="minor"/>
      </rPr>
      <t>) as header subtitle.
- Render prompt string exactly: "</t>
    </r>
    <r>
      <rPr>
        <b/>
        <sz val="11"/>
        <color theme="1"/>
        <rFont val="Calibri"/>
        <family val="2"/>
        <scheme val="minor"/>
      </rPr>
      <t>Have you had this screening?</t>
    </r>
    <r>
      <rPr>
        <sz val="11"/>
        <color theme="1"/>
        <rFont val="Calibri"/>
        <family val="2"/>
        <scheme val="minor"/>
      </rPr>
      <t>" (US 1.5 AC 2).
- Render two accessible CTA buttons: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(Primary #00CED1) and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" (Secondary outline).
3. </t>
    </r>
    <r>
      <rPr>
        <b/>
        <sz val="11"/>
        <color theme="1"/>
        <rFont val="Calibri"/>
        <family val="2"/>
        <scheme val="minor"/>
      </rPr>
      <t>Connect Routing &amp; Actions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, when a card is pressed, set </t>
    </r>
    <r>
      <rPr>
        <b/>
        <sz val="11"/>
        <color theme="1"/>
        <rFont val="Calibri"/>
        <family val="2"/>
        <scheme val="minor"/>
      </rPr>
      <t>selectedItem</t>
    </r>
    <r>
      <rPr>
        <sz val="11"/>
        <color theme="1"/>
        <rFont val="Calibri"/>
        <family val="2"/>
        <scheme val="minor"/>
      </rPr>
      <t xml:space="preserve"> and open </t>
    </r>
    <r>
      <rPr>
        <b/>
        <sz val="11"/>
        <color theme="1"/>
        <rFont val="Calibri"/>
        <family val="2"/>
        <scheme val="minor"/>
      </rPr>
      <t>ScreeningDecisionModal</t>
    </r>
    <r>
      <rPr>
        <sz val="11"/>
        <color theme="1"/>
        <rFont val="Calibri"/>
        <family val="2"/>
        <scheme val="minor"/>
      </rPr>
      <t>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 xml:space="preserve">" tap (US 1.5 AC 4):
a. Dismiss modal and route to the existing data entry form: </t>
    </r>
    <r>
      <rPr>
        <b/>
        <sz val="11"/>
        <color theme="1"/>
        <rFont val="Calibri"/>
        <family val="2"/>
        <scheme val="minor"/>
      </rPr>
      <t>router.push({ pathname: '/(tabs)/health-screening', params: { openFormFor: selectedItem.id, type: selectedItem.screeningType } })</t>
    </r>
    <r>
      <rPr>
        <sz val="11"/>
        <color theme="1"/>
        <rFont val="Calibri"/>
        <family val="2"/>
        <scheme val="minor"/>
      </rPr>
      <t>.
b. Upon successful form submission, TanStack Query invalidation (</t>
    </r>
    <r>
      <rPr>
        <b/>
        <sz val="11"/>
        <color theme="1"/>
        <rFont val="Calibri"/>
        <family val="2"/>
        <scheme val="minor"/>
      </rPr>
      <t>queryClient.invalidateQueries({ queryKey: ['screenings', 'overview'] })</t>
    </r>
    <r>
      <rPr>
        <sz val="11"/>
        <color theme="1"/>
        <rFont val="Calibri"/>
        <family val="2"/>
        <scheme val="minor"/>
      </rPr>
      <t xml:space="preserve">) ensures the card immediately transitions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tab count badges update (US 1.6).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(US 1.5 AC 5):
Dismiss modal and open the existing appointment booking modal (</t>
    </r>
    <r>
      <rPr>
        <b/>
        <sz val="11"/>
        <color theme="1"/>
        <rFont val="Calibri"/>
        <family val="2"/>
        <scheme val="minor"/>
      </rPr>
      <t>bookingFlow.ts</t>
    </r>
    <r>
      <rPr>
        <sz val="11"/>
        <color theme="1"/>
        <rFont val="Calibri"/>
        <family val="2"/>
        <scheme val="minor"/>
      </rPr>
      <t xml:space="preserve"> / appointment booking modal component).</t>
    </r>
  </si>
  <si>
    <r>
      <rPr>
        <b/>
        <sz val="11"/>
        <color theme="1"/>
        <rFont val="Calibri"/>
        <family val="2"/>
        <scheme val="minor"/>
      </rPr>
      <t>Build Reusable CustomConditionCard.tsx Component with Distinctive Styling &amp; Green "Last: [Date]" Pill Badge (DO THIS LIKE IT IS DONE IN OTHER EXISTING SCREENINGS)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checkupp-mobile/components/screening/CustomConditionCard.tsx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CustomConditionCardProps {
  item: CustomConditionItem;
  onPress: (item: CustomConditionItem) =&gt; void;
}
3. </t>
    </r>
    <r>
      <rPr>
        <b/>
        <sz val="11"/>
        <color theme="1"/>
        <rFont val="Calibri"/>
        <family val="2"/>
        <scheme val="minor"/>
      </rPr>
      <t>Distinctive Custom Styling</t>
    </r>
    <r>
      <rPr>
        <sz val="11"/>
        <color theme="1"/>
        <rFont val="Calibri"/>
        <family val="2"/>
        <scheme val="minor"/>
      </rPr>
      <t xml:space="preserve"> (US 18.4 AC 1, 2, 3):
- Apply visual distinction from default system screenings while keeping structural layout identical: use a subtle teal/cyan border accent (border-l-4 border-l-[#00CED1] bg-white rounded-xl border border-gray-100 p-4 mb-3).
- Display condition Name (item.conditionName) in Poppins-Medium and frequency (item.frequencyType, formatting custom interval if applicable, e.g., "Every 45 Days") as subtitle.
- Display chevron-forward icon from @expo/vector-icons/Ionicons on the far right.
4.  </t>
    </r>
    <r>
      <rPr>
        <b/>
        <sz val="11"/>
        <color theme="1"/>
        <rFont val="Calibri"/>
        <family val="2"/>
        <scheme val="minor"/>
      </rPr>
      <t>Green Outcome Pill Badge Support</t>
    </r>
    <r>
      <rPr>
        <sz val="11"/>
        <color theme="1"/>
        <rFont val="Calibri"/>
        <family val="2"/>
        <scheme val="minor"/>
      </rPr>
      <t xml:space="preserve"> (US 18.5 AC 6):
- If item.latestRecordDate exists, render a soft green pill badge in the top-right corner of the card:
a. Background #DCFCE7 (bg-green-100), text #15803D (text-green-800 text-xs font-psemibold px-2.5 py-1 rounded-full).
b. Format string exactly as mandated: "Last: [Today's Logging Date]" (e.g., format(new Date(item.latestRecordDate), "'Last:' dd MMM yyyy")).</t>
    </r>
  </si>
  <si>
    <r>
      <rPr>
        <b/>
        <sz val="11"/>
        <color theme="1"/>
        <rFont val="Calibri"/>
        <family val="2"/>
        <scheme val="minor"/>
      </rPr>
      <t>Integrate Custom Condition List Rendering &amp; Wire Existing Decision Modal ("Have you had this screening?") (DO THIS LIKE IT IS DONE IN OTHER EXISTING SCREENINGS)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checkupp-mobile/app/(tabs)/health-screening.tsx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checkupp-mobile/lib/features/screenings/queries.ts
2. Data Query &amp; List Rendering</t>
    </r>
    <r>
      <rPr>
        <sz val="11"/>
        <color theme="1"/>
        <rFont val="Calibri"/>
        <family val="2"/>
        <scheme val="minor"/>
      </rPr>
      <t xml:space="preserve">:
- Implement useCustomConditionsQuery(userId) in queries.ts fetching GET /me/screenings/custom-conditions.
- In health-screening.tsx, merge/render CustomConditionCard components inside the "Available Health Checks" FlatList directly below the trigger card.
3. </t>
    </r>
    <r>
      <rPr>
        <b/>
        <sz val="11"/>
        <color theme="1"/>
        <rFont val="Calibri"/>
        <family val="2"/>
        <scheme val="minor"/>
      </rPr>
      <t>Wire Decision Modal</t>
    </r>
    <r>
      <rPr>
        <sz val="11"/>
        <color theme="1"/>
        <rFont val="Calibri"/>
        <family val="2"/>
        <scheme val="minor"/>
      </rPr>
      <t xml:space="preserve"> (US 18.4 AC 4–7):
- When CustomConditionCard is tapped (onPress), open the app's existing ScreeningDecisionModal ("Have you had this screening?").
- Pass the custom condition name as subtitle.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tap (AC 6): Close decision modal and open LogSpecificConditionModal (FE-18.6) passing customConditionId and metadata.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(AC 7): Close decision modal and open the app's existing appointment booking modal (bookingFlow.ts).</t>
    </r>
  </si>
  <si>
    <r>
      <rPr>
        <b/>
        <sz val="11"/>
        <color theme="1"/>
        <rFont val="Calibri"/>
        <family val="2"/>
        <scheme val="minor"/>
      </rPr>
      <t>Build LogSpecificConditionModal.tsx Full-Screen Outcome Form &amp; Wire Save Mutation (DO THIS LIKE IT IS DONE IN OTHER EXISTING SCREENINGS FORMS)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checkupp-mobile/components/screening/LogSpecificConditionModal.tsx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Full-Screen Modal Scaffold</t>
    </r>
    <r>
      <rPr>
        <sz val="11"/>
        <color theme="1"/>
        <rFont val="Calibri"/>
        <family val="2"/>
        <scheme val="minor"/>
      </rPr>
      <t xml:space="preserve"> (US 18.5 AC 1):
- Build full-screen modal view with header displaying read-only metadata: condition name, monitoring type, frequency, and care provider.
3. </t>
    </r>
    <r>
      <rPr>
        <b/>
        <sz val="11"/>
        <color theme="1"/>
        <rFont val="Calibri"/>
        <family val="2"/>
        <scheme val="minor"/>
      </rPr>
      <t>Form Input Components</t>
    </r>
    <r>
      <rPr>
        <sz val="11"/>
        <color theme="1"/>
        <rFont val="Calibri"/>
        <family val="2"/>
        <scheme val="minor"/>
      </rPr>
      <t xml:space="preserve"> (US 18.5 AC 2, 3, 4):
- Date of Check: Use DatePickerInput.tsx defaulting to current system date (new Date()). Allow user selection up to current date.
- Outcome or Clinical Notes: Spacious multi-line free-text area (InputField.tsx with multiline={true} and numberOfLines={4}).
4. </t>
    </r>
    <r>
      <rPr>
        <b/>
        <sz val="11"/>
        <color theme="1"/>
        <rFont val="Calibri"/>
        <family val="2"/>
        <scheme val="minor"/>
      </rPr>
      <t>CTA Buttons &amp; Workflow</t>
    </r>
    <r>
      <rPr>
        <sz val="11"/>
        <color theme="1"/>
        <rFont val="Calibri"/>
        <family val="2"/>
        <scheme val="minor"/>
      </rPr>
      <t xml:space="preserve"> (US 18.5 AC 4, 5, 6):
- </t>
    </r>
    <r>
      <rPr>
        <b/>
        <sz val="11"/>
        <color theme="1"/>
        <rFont val="Calibri"/>
        <family val="2"/>
        <scheme val="minor"/>
      </rPr>
      <t>Sticky footer</t>
    </r>
    <r>
      <rPr>
        <sz val="11"/>
        <color theme="1"/>
        <rFont val="Calibri"/>
        <family val="2"/>
        <scheme val="minor"/>
      </rPr>
      <t xml:space="preserve"> with two buttons:
a.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: Cancel: Tapping closes modal and returns user to Available Health Checks - Health Checks top tab - Screenings bottom tab with zero data persistence.
b.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>: Save: Tapping executes useLogCustomConditionRecordMutation({ customConditionId, checkDate, outcomeNotes }).
- Upon success, invalidate query ['screenings', 'custom-conditions'], close full-screen modal, return user to Health Checks list, and confirm the card now displays the green "Last: [Today's Logging Date]" pill badge.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</si>
  <si>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 &amp; Tap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pill badge following wireframe: </t>
    </r>
    <r>
      <rPr>
        <b/>
        <sz val="11"/>
        <color theme="1"/>
        <rFont val="Calibri"/>
        <family val="2"/>
        <scheme val="minor"/>
      </rPr>
      <t xml:space="preserve">"no. of days/months/year/years ago" </t>
    </r>
    <r>
      <rPr>
        <sz val="11"/>
        <color theme="1"/>
        <rFont val="Calibri"/>
        <family val="2"/>
        <scheme val="minor"/>
      </rPr>
      <t xml:space="preserve">(e.g. </t>
    </r>
    <r>
      <rPr>
        <sz val="11"/>
        <color rgb="FFFF0000"/>
        <rFont val="Calibri"/>
        <family val="2"/>
        <scheme val="minor"/>
      </rPr>
      <t>2 months ago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1 year ago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5 days ago</t>
    </r>
    <r>
      <rPr>
        <sz val="11"/>
        <color theme="1"/>
        <rFont val="Calibri"/>
        <family val="2"/>
        <scheme val="minor"/>
      </rPr>
      <t xml:space="preserve">) in normal weight snake case font with red border color </t>
    </r>
    <r>
      <rPr>
        <b/>
        <sz val="11"/>
        <color theme="1"/>
        <rFont val="Calibri"/>
        <family val="2"/>
        <scheme val="minor"/>
      </rPr>
      <t>#FEE2E2 (px-2 py-0.5 rounded text-red-700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 xml:space="preserve">).
c. For </t>
    </r>
    <r>
      <rPr>
        <b/>
        <sz val="11"/>
        <color theme="1"/>
        <rFont val="Calibri"/>
        <family val="2"/>
        <scheme val="minor"/>
      </rPr>
      <t xml:space="preserve">Upcoming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cards: Render a text pill badge following wireframe: "in </t>
    </r>
    <r>
      <rPr>
        <b/>
        <sz val="11"/>
        <color theme="1"/>
        <rFont val="Calibri"/>
        <family val="2"/>
        <scheme val="minor"/>
      </rPr>
      <t>No. of days/months</t>
    </r>
    <r>
      <rPr>
        <sz val="11"/>
        <color theme="1"/>
        <rFont val="Calibri"/>
        <family val="2"/>
        <scheme val="minor"/>
      </rPr>
      <t xml:space="preserve">". Text and pill border in brand primary color, no fill.
5. </t>
    </r>
    <r>
      <rPr>
        <b/>
        <sz val="11"/>
        <color theme="1"/>
        <rFont val="Calibri"/>
        <family val="2"/>
        <scheme val="minor"/>
      </rPr>
      <t>Tap Handler</t>
    </r>
    <r>
      <rPr>
        <sz val="11"/>
        <color theme="1"/>
        <rFont val="Calibri"/>
        <family val="2"/>
        <scheme val="minor"/>
      </rPr>
      <t xml:space="preserve">: Trigger </t>
    </r>
    <r>
      <rPr>
        <b/>
        <sz val="11"/>
        <color theme="1"/>
        <rFont val="Calibri"/>
        <family val="2"/>
        <scheme val="minor"/>
      </rPr>
      <t>onPress(item)</t>
    </r>
    <r>
      <rPr>
        <sz val="11"/>
        <color theme="1"/>
        <rFont val="Calibri"/>
        <family val="2"/>
        <scheme val="minor"/>
      </rPr>
      <t xml:space="preserve"> when pressed (to open decision modal in FE-1.6).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</si>
</sst>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Burndown'!$C$1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01 Burndown'!$B$2:$B$10</c:f>
              <c:numCache>
                <c:formatCode>m/d/yyyy</c:formatCode>
                <c:ptCount val="9"/>
                <c:pt idx="0">
                  <c:v>46237</c:v>
                </c:pt>
                <c:pt idx="1">
                  <c:v>46238</c:v>
                </c:pt>
                <c:pt idx="2">
                  <c:v>46239</c:v>
                </c:pt>
                <c:pt idx="3">
                  <c:v>46240</c:v>
                </c:pt>
                <c:pt idx="4">
                  <c:v>46241</c:v>
                </c:pt>
                <c:pt idx="5">
                  <c:v>46244</c:v>
                </c:pt>
                <c:pt idx="6">
                  <c:v>46245</c:v>
                </c:pt>
                <c:pt idx="7">
                  <c:v>46246</c:v>
                </c:pt>
                <c:pt idx="8">
                  <c:v>46247</c:v>
                </c:pt>
              </c:numCache>
            </c:numRef>
          </c:cat>
          <c:val>
            <c:numRef>
              <c:f>'Sprint 01 Burndown'!$C$2:$C$10</c:f>
              <c:numCache>
                <c:formatCode>General</c:formatCode>
                <c:ptCount val="9"/>
                <c:pt idx="0">
                  <c:v>82</c:v>
                </c:pt>
                <c:pt idx="1">
                  <c:v>74</c:v>
                </c:pt>
                <c:pt idx="2">
                  <c:v>66</c:v>
                </c:pt>
                <c:pt idx="3">
                  <c:v>66</c:v>
                </c:pt>
                <c:pt idx="4">
                  <c:v>66</c:v>
                </c:pt>
                <c:pt idx="5">
                  <c:v>66</c:v>
                </c:pt>
                <c:pt idx="6">
                  <c:v>66</c:v>
                </c:pt>
                <c:pt idx="7">
                  <c:v>66</c:v>
                </c:pt>
                <c:pt idx="8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Burndown'!$D$1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01 Burndown'!$B$2:$B$10</c:f>
              <c:numCache>
                <c:formatCode>m/d/yyyy</c:formatCode>
                <c:ptCount val="9"/>
                <c:pt idx="0">
                  <c:v>46237</c:v>
                </c:pt>
                <c:pt idx="1">
                  <c:v>46238</c:v>
                </c:pt>
                <c:pt idx="2">
                  <c:v>46239</c:v>
                </c:pt>
                <c:pt idx="3">
                  <c:v>46240</c:v>
                </c:pt>
                <c:pt idx="4">
                  <c:v>46241</c:v>
                </c:pt>
                <c:pt idx="5">
                  <c:v>46244</c:v>
                </c:pt>
                <c:pt idx="6">
                  <c:v>46245</c:v>
                </c:pt>
                <c:pt idx="7">
                  <c:v>46246</c:v>
                </c:pt>
                <c:pt idx="8">
                  <c:v>46247</c:v>
                </c:pt>
              </c:numCache>
            </c:numRef>
          </c:cat>
          <c:val>
            <c:numRef>
              <c:f>'Sprint 01 Burndown'!$D$2:$D$10</c:f>
              <c:numCache>
                <c:formatCode>General</c:formatCode>
                <c:ptCount val="9"/>
                <c:pt idx="0">
                  <c:v>82</c:v>
                </c:pt>
                <c:pt idx="1">
                  <c:v>71.75</c:v>
                </c:pt>
                <c:pt idx="2">
                  <c:v>61.5</c:v>
                </c:pt>
                <c:pt idx="3">
                  <c:v>51.25</c:v>
                </c:pt>
                <c:pt idx="4">
                  <c:v>41</c:v>
                </c:pt>
                <c:pt idx="5">
                  <c:v>30.75</c:v>
                </c:pt>
                <c:pt idx="6">
                  <c:v>20.5</c:v>
                </c:pt>
                <c:pt idx="7">
                  <c:v>10.25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dateAx>
        <c:axId val="22857662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0"/>
        <c:lblOffset val="100"/>
        <c:baseTimeUnit val="days"/>
      </c:date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167640</xdr:colOff>
      <xdr:row>0</xdr:row>
      <xdr:rowOff>182880</xdr:rowOff>
    </xdr:from>
    <xdr:to>
      <xdr:col>21</xdr:col>
      <xdr:colOff>36990</xdr:colOff>
      <xdr:row>20</xdr:row>
      <xdr:rowOff>7398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123"/>
  <sheetViews>
    <sheetView tabSelected="1" zoomScale="82" zoomScaleNormal="82" workbookViewId="0">
      <pane ySplit="1" topLeftCell="A11" activePane="bottomLeft" state="frozen"/>
      <selection pane="bottomLeft" activeCell="K9" sqref="K9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hidden="1" customHeight="1" x14ac:dyDescent="0.3">
      <c r="A2" s="8">
        <v>1</v>
      </c>
      <c r="B2" s="8" t="s">
        <v>27</v>
      </c>
      <c r="C2" s="8">
        <v>0.1</v>
      </c>
      <c r="D2" s="8" t="s">
        <v>34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8.6" customHeight="1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39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8.6" hidden="1" customHeight="1" x14ac:dyDescent="0.3">
      <c r="A4" s="8">
        <v>3</v>
      </c>
      <c r="B4" s="8" t="s">
        <v>26</v>
      </c>
      <c r="C4" s="8" t="s">
        <v>45</v>
      </c>
      <c r="D4" s="8" t="s">
        <v>35</v>
      </c>
      <c r="E4" s="8" t="s">
        <v>23</v>
      </c>
      <c r="F4" s="10" t="s">
        <v>44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408.6" hidden="1" customHeight="1" x14ac:dyDescent="0.3">
      <c r="A5" s="8">
        <v>4</v>
      </c>
      <c r="B5" s="8" t="s">
        <v>26</v>
      </c>
      <c r="C5" s="8" t="s">
        <v>45</v>
      </c>
      <c r="D5" s="8" t="s">
        <v>36</v>
      </c>
      <c r="E5" s="8" t="s">
        <v>23</v>
      </c>
      <c r="F5" s="10" t="s">
        <v>46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hidden="1" x14ac:dyDescent="0.3">
      <c r="A6" s="8">
        <v>5</v>
      </c>
      <c r="B6" s="8"/>
      <c r="C6" s="8">
        <v>1.6</v>
      </c>
      <c r="D6" s="8"/>
      <c r="E6" s="8" t="s">
        <v>23</v>
      </c>
      <c r="F6" s="10" t="s">
        <v>47</v>
      </c>
      <c r="G6" s="8" t="s">
        <v>25</v>
      </c>
      <c r="H6" s="8" t="s">
        <v>31</v>
      </c>
      <c r="I6" s="8" cm="1">
        <f t="array" ref="I6">_xlfn.SWITCH(H6,"XS",1,"S",2,"M",3,"L",5,"XL",8,"XXL",13,"XXXL",21,"")</f>
        <v>5</v>
      </c>
      <c r="J6" s="8"/>
      <c r="K6" s="8"/>
      <c r="L6" s="8"/>
    </row>
    <row r="7" spans="1:12" ht="272.39999999999998" hidden="1" customHeight="1" x14ac:dyDescent="0.3">
      <c r="A7" s="8">
        <v>6</v>
      </c>
      <c r="B7" s="8" t="s">
        <v>26</v>
      </c>
      <c r="C7" s="8" t="s">
        <v>43</v>
      </c>
      <c r="D7" s="8" t="s">
        <v>37</v>
      </c>
      <c r="E7" s="8" t="s">
        <v>32</v>
      </c>
      <c r="F7" s="10" t="s">
        <v>48</v>
      </c>
      <c r="G7" s="8" t="s">
        <v>30</v>
      </c>
      <c r="H7" s="8" t="s">
        <v>28</v>
      </c>
      <c r="I7" s="8" cm="1">
        <f t="array" ref="I7">_xlfn.SWITCH(H7,"XS",1,"S",2,"M",3,"L",5,"XL",8,"XXL",13,"XXXL",21,"")</f>
        <v>3</v>
      </c>
      <c r="J7" s="8" t="s">
        <v>20</v>
      </c>
      <c r="K7" s="8"/>
      <c r="L7" s="8"/>
    </row>
    <row r="8" spans="1:12" ht="409.6" x14ac:dyDescent="0.3">
      <c r="A8" s="8">
        <v>7</v>
      </c>
      <c r="B8" s="8" t="s">
        <v>26</v>
      </c>
      <c r="C8" s="8" t="s">
        <v>42</v>
      </c>
      <c r="D8" s="8" t="s">
        <v>70</v>
      </c>
      <c r="E8" s="8" t="s">
        <v>21</v>
      </c>
      <c r="F8" s="10" t="s">
        <v>49</v>
      </c>
      <c r="G8" s="8" t="s">
        <v>25</v>
      </c>
      <c r="H8" s="8" t="s">
        <v>28</v>
      </c>
      <c r="I8" s="8" cm="1">
        <f t="array" ref="I8">_xlfn.SWITCH(H8,"XS",1,"S",2,"M",3,"L",5,"XL",8,"XXL",13,"XXXL",21,"")</f>
        <v>3</v>
      </c>
      <c r="J8" s="8" t="s">
        <v>20</v>
      </c>
      <c r="K8" s="8"/>
      <c r="L8" s="8"/>
    </row>
    <row r="9" spans="1:12" ht="409.6" x14ac:dyDescent="0.3">
      <c r="A9" s="8">
        <v>8</v>
      </c>
      <c r="B9" s="8" t="s">
        <v>26</v>
      </c>
      <c r="C9" s="8" t="s">
        <v>41</v>
      </c>
      <c r="D9" s="8" t="s">
        <v>29</v>
      </c>
      <c r="E9" s="8" t="s">
        <v>21</v>
      </c>
      <c r="F9" s="10" t="s">
        <v>75</v>
      </c>
      <c r="G9" s="8" t="s">
        <v>30</v>
      </c>
      <c r="H9" s="8" t="s">
        <v>24</v>
      </c>
      <c r="I9" s="8" cm="1">
        <f t="array" ref="I9">_xlfn.SWITCH(H9,"XS",1,"S",2,"M",3,"L",5,"XL",8,"XXL",13,"XXXL",21,"")</f>
        <v>2</v>
      </c>
      <c r="J9" s="8" t="s">
        <v>20</v>
      </c>
      <c r="K9" s="8"/>
      <c r="L9" s="8"/>
    </row>
    <row r="10" spans="1:12" ht="396" customHeight="1" x14ac:dyDescent="0.3">
      <c r="A10" s="8">
        <v>9</v>
      </c>
      <c r="B10" s="8" t="s">
        <v>26</v>
      </c>
      <c r="C10" s="8" t="s">
        <v>40</v>
      </c>
      <c r="D10" s="8" t="s">
        <v>29</v>
      </c>
      <c r="E10" s="8" t="s">
        <v>21</v>
      </c>
      <c r="F10" s="10" t="s">
        <v>50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409.6" x14ac:dyDescent="0.3">
      <c r="A11" s="8">
        <v>10</v>
      </c>
      <c r="B11" s="8" t="s">
        <v>26</v>
      </c>
      <c r="C11" s="8" t="s">
        <v>51</v>
      </c>
      <c r="D11" s="8" t="s">
        <v>38</v>
      </c>
      <c r="E11" s="8" t="s">
        <v>21</v>
      </c>
      <c r="F11" s="10" t="s">
        <v>52</v>
      </c>
      <c r="G11" s="8" t="s">
        <v>30</v>
      </c>
      <c r="H11" s="8" t="s">
        <v>31</v>
      </c>
      <c r="I11" s="8" cm="1">
        <f t="array" ref="I11">_xlfn.SWITCH(H11,"XS",1,"S",2,"M",3,"L",5,"XL",8,"XXL",13,"XXXL",21,"")</f>
        <v>5</v>
      </c>
      <c r="J11" s="8" t="s">
        <v>20</v>
      </c>
      <c r="K11" s="8"/>
      <c r="L11" s="8"/>
    </row>
    <row r="12" spans="1:12" ht="408.6" customHeight="1" x14ac:dyDescent="0.3">
      <c r="A12" s="8">
        <v>11</v>
      </c>
      <c r="B12" s="8"/>
      <c r="C12" s="8" t="s">
        <v>53</v>
      </c>
      <c r="D12" s="8"/>
      <c r="E12" s="8" t="s">
        <v>21</v>
      </c>
      <c r="F12" s="10" t="s">
        <v>71</v>
      </c>
      <c r="G12" s="8" t="s">
        <v>22</v>
      </c>
      <c r="H12" s="8" t="s">
        <v>28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302.39999999999998" x14ac:dyDescent="0.3">
      <c r="A13" s="8">
        <v>12</v>
      </c>
      <c r="B13" s="8"/>
      <c r="C13" s="8">
        <v>1.8</v>
      </c>
      <c r="D13" s="8"/>
      <c r="E13" s="8" t="s">
        <v>21</v>
      </c>
      <c r="F13" s="10" t="s">
        <v>54</v>
      </c>
      <c r="G13" s="8" t="s">
        <v>30</v>
      </c>
      <c r="H13" s="8" t="s">
        <v>24</v>
      </c>
      <c r="I13" s="8" cm="1">
        <f t="array" ref="I13">_xlfn.SWITCH(H13,"XS",1,"S",2,"M",3,"L",5,"XL",8,"XXL",13,"XXXL",21,"")</f>
        <v>2</v>
      </c>
      <c r="J13" s="8"/>
      <c r="K13" s="8"/>
      <c r="L13" s="8"/>
    </row>
    <row r="14" spans="1:12" ht="409.6" hidden="1" x14ac:dyDescent="0.3">
      <c r="A14" s="8">
        <v>13</v>
      </c>
      <c r="B14" s="8"/>
      <c r="C14" s="8" t="s">
        <v>56</v>
      </c>
      <c r="D14" s="8" t="s">
        <v>37</v>
      </c>
      <c r="E14" s="8" t="s">
        <v>32</v>
      </c>
      <c r="F14" s="10" t="s">
        <v>55</v>
      </c>
      <c r="G14" s="8" t="s">
        <v>30</v>
      </c>
      <c r="H14" s="8" t="s">
        <v>31</v>
      </c>
      <c r="I14" s="8" cm="1">
        <f t="array" ref="I14">_xlfn.SWITCH(H14,"XS",1,"S",2,"M",3,"L",5,"XL",8,"XXL",13,"XXXL",21,"")</f>
        <v>5</v>
      </c>
      <c r="J14" s="8" t="s">
        <v>20</v>
      </c>
      <c r="K14" s="8"/>
      <c r="L14" s="8"/>
    </row>
    <row r="15" spans="1:12" ht="409.6" hidden="1" x14ac:dyDescent="0.3">
      <c r="A15" s="8">
        <v>14</v>
      </c>
      <c r="B15" s="8"/>
      <c r="C15" s="8"/>
      <c r="D15" s="8" t="s">
        <v>60</v>
      </c>
      <c r="E15" s="8" t="s">
        <v>23</v>
      </c>
      <c r="F15" s="10" t="s">
        <v>57</v>
      </c>
      <c r="G15" s="8" t="s">
        <v>25</v>
      </c>
      <c r="H15" s="8" t="s">
        <v>28</v>
      </c>
      <c r="I15" s="8" cm="1">
        <f t="array" ref="I15">_xlfn.SWITCH(H15,"XS",1,"S",2,"M",3,"L",5,"XL",8,"XXL",13,"XXXL",21,"")</f>
        <v>3</v>
      </c>
      <c r="J15" s="8"/>
      <c r="K15" s="8" t="s">
        <v>68</v>
      </c>
      <c r="L15" s="8"/>
    </row>
    <row r="16" spans="1:12" ht="409.6" hidden="1" x14ac:dyDescent="0.3">
      <c r="A16" s="8">
        <v>15</v>
      </c>
      <c r="B16" s="8"/>
      <c r="C16" s="8"/>
      <c r="D16" s="8" t="s">
        <v>59</v>
      </c>
      <c r="E16" s="8" t="s">
        <v>23</v>
      </c>
      <c r="F16" s="10" t="s">
        <v>58</v>
      </c>
      <c r="G16" s="8" t="s">
        <v>25</v>
      </c>
      <c r="H16" s="8" t="s">
        <v>31</v>
      </c>
      <c r="I16" s="8" cm="1">
        <f t="array" ref="I16">_xlfn.SWITCH(H16,"XS",1,"S",2,"M",3,"L",5,"XL",8,"XXL",13,"XXXL",21,"")</f>
        <v>5</v>
      </c>
      <c r="J16" s="8"/>
      <c r="K16" s="8" t="s">
        <v>68</v>
      </c>
      <c r="L16" s="8"/>
    </row>
    <row r="17" spans="1:12" ht="409.6" hidden="1" x14ac:dyDescent="0.3">
      <c r="A17" s="8">
        <v>16</v>
      </c>
      <c r="B17" s="8"/>
      <c r="C17" s="8">
        <v>18.5</v>
      </c>
      <c r="D17" s="8"/>
      <c r="E17" s="8" t="s">
        <v>23</v>
      </c>
      <c r="F17" s="10" t="s">
        <v>61</v>
      </c>
      <c r="G17" s="8" t="s">
        <v>25</v>
      </c>
      <c r="H17" s="8" t="s">
        <v>31</v>
      </c>
      <c r="I17" s="8" cm="1">
        <f t="array" ref="I17">_xlfn.SWITCH(H17,"XS",1,"S",2,"M",3,"L",5,"XL",8,"XXL",13,"XXXL",21,"")</f>
        <v>5</v>
      </c>
      <c r="J17" s="8"/>
      <c r="K17" s="8" t="s">
        <v>68</v>
      </c>
      <c r="L17" s="8"/>
    </row>
    <row r="18" spans="1:12" ht="315.60000000000002" hidden="1" customHeight="1" x14ac:dyDescent="0.3">
      <c r="A18" s="8">
        <v>17</v>
      </c>
      <c r="B18" s="8"/>
      <c r="C18" s="8" t="s">
        <v>60</v>
      </c>
      <c r="D18" s="8"/>
      <c r="E18" s="8" t="s">
        <v>32</v>
      </c>
      <c r="F18" s="10" t="s">
        <v>62</v>
      </c>
      <c r="G18" s="8" t="s">
        <v>30</v>
      </c>
      <c r="H18" s="8" t="s">
        <v>28</v>
      </c>
      <c r="I18" s="8" cm="1">
        <f t="array" ref="I18">_xlfn.SWITCH(H18,"XS",1,"S",2,"M",3,"L",5,"XL",8,"XXL",13,"XXXL",21,"")</f>
        <v>3</v>
      </c>
      <c r="J18" s="8"/>
      <c r="K18" s="8"/>
      <c r="L18" s="8"/>
    </row>
    <row r="19" spans="1:12" ht="383.4" customHeight="1" x14ac:dyDescent="0.3">
      <c r="A19" s="8">
        <v>18</v>
      </c>
      <c r="B19" s="8"/>
      <c r="C19" s="8">
        <v>18.100000000000001</v>
      </c>
      <c r="D19" s="8"/>
      <c r="E19" s="8" t="s">
        <v>21</v>
      </c>
      <c r="F19" s="10" t="s">
        <v>63</v>
      </c>
      <c r="G19" s="8" t="s">
        <v>22</v>
      </c>
      <c r="H19" s="8" t="s">
        <v>24</v>
      </c>
      <c r="I19" s="8" cm="1">
        <f t="array" ref="I19">_xlfn.SWITCH(H19,"XS",1,"S",2,"M",3,"L",5,"XL",8,"XXL",13,"XXXL",21,"")</f>
        <v>2</v>
      </c>
      <c r="J19" s="8"/>
      <c r="K19" s="8"/>
      <c r="L19" s="8"/>
    </row>
    <row r="20" spans="1:12" ht="409.6" hidden="1" x14ac:dyDescent="0.3">
      <c r="A20" s="8">
        <v>19</v>
      </c>
      <c r="B20" s="8"/>
      <c r="C20" s="8">
        <v>18.2</v>
      </c>
      <c r="D20" s="8"/>
      <c r="E20" s="8"/>
      <c r="F20" s="10" t="s">
        <v>64</v>
      </c>
      <c r="G20" s="8" t="s">
        <v>22</v>
      </c>
      <c r="H20" s="8" t="s">
        <v>31</v>
      </c>
      <c r="I20" s="8" cm="1">
        <f t="array" ref="I20">_xlfn.SWITCH(H20,"XS",1,"S",2,"M",3,"L",5,"XL",8,"XXL",13,"XXXL",21,"")</f>
        <v>5</v>
      </c>
      <c r="J20" s="8"/>
      <c r="K20" s="8"/>
      <c r="L20" s="8"/>
    </row>
    <row r="21" spans="1:12" ht="360" x14ac:dyDescent="0.3">
      <c r="A21" s="8">
        <v>20</v>
      </c>
      <c r="B21" s="8"/>
      <c r="C21" s="8">
        <v>18.3</v>
      </c>
      <c r="D21" s="8"/>
      <c r="E21" s="8" t="s">
        <v>21</v>
      </c>
      <c r="F21" s="10" t="s">
        <v>67</v>
      </c>
      <c r="G21" s="8" t="s">
        <v>22</v>
      </c>
      <c r="H21" s="8" t="s">
        <v>28</v>
      </c>
      <c r="I21" s="8" cm="1">
        <f t="array" ref="I21">_xlfn.SWITCH(H21,"XS",1,"S",2,"M",3,"L",5,"XL",8,"XXL",13,"XXXL",21,"")</f>
        <v>3</v>
      </c>
      <c r="J21" s="8"/>
      <c r="K21" s="8"/>
      <c r="L21" s="8"/>
    </row>
    <row r="22" spans="1:12" ht="409.2" customHeight="1" x14ac:dyDescent="0.3">
      <c r="A22" s="8">
        <v>21</v>
      </c>
      <c r="B22" s="8"/>
      <c r="C22" s="8" t="s">
        <v>66</v>
      </c>
      <c r="D22" s="8"/>
      <c r="E22" s="8" t="s">
        <v>21</v>
      </c>
      <c r="F22" s="10" t="s">
        <v>72</v>
      </c>
      <c r="G22" s="8" t="s">
        <v>22</v>
      </c>
      <c r="H22" s="8" t="s">
        <v>28</v>
      </c>
      <c r="I22" s="8" cm="1">
        <f t="array" ref="I22">_xlfn.SWITCH(H22,"XS",1,"S",2,"M",3,"L",5,"XL",8,"XXL",13,"XXXL",21,"")</f>
        <v>3</v>
      </c>
      <c r="J22" s="8"/>
      <c r="K22" s="8"/>
      <c r="L22" s="8"/>
    </row>
    <row r="23" spans="1:12" ht="316.8" x14ac:dyDescent="0.3">
      <c r="A23" s="8">
        <v>22</v>
      </c>
      <c r="B23" s="8"/>
      <c r="C23" s="8">
        <v>18.399999999999999</v>
      </c>
      <c r="D23" s="8"/>
      <c r="E23" s="8" t="s">
        <v>21</v>
      </c>
      <c r="F23" s="10" t="s">
        <v>73</v>
      </c>
      <c r="G23" s="8" t="s">
        <v>22</v>
      </c>
      <c r="H23" s="8" t="s">
        <v>28</v>
      </c>
      <c r="I23" s="8" cm="1">
        <f t="array" ref="I23">_xlfn.SWITCH(H23,"XS",1,"S",2,"M",3,"L",5,"XL",8,"XXL",13,"XXXL",21,"")</f>
        <v>3</v>
      </c>
      <c r="J23" s="8"/>
      <c r="K23" s="8"/>
      <c r="L23" s="8"/>
    </row>
    <row r="24" spans="1:12" ht="403.2" x14ac:dyDescent="0.3">
      <c r="A24" s="8">
        <v>23</v>
      </c>
      <c r="B24" s="8"/>
      <c r="C24" s="8">
        <v>18.5</v>
      </c>
      <c r="D24" s="8"/>
      <c r="E24" s="8" t="s">
        <v>21</v>
      </c>
      <c r="F24" s="10" t="s">
        <v>74</v>
      </c>
      <c r="G24" s="8" t="s">
        <v>22</v>
      </c>
      <c r="H24" s="8" t="s">
        <v>31</v>
      </c>
      <c r="I24" s="8" cm="1">
        <f t="array" ref="I24">_xlfn.SWITCH(H24,"XS",1,"S",2,"M",3,"L",5,"XL",8,"XXL",13,"XXXL",21,"")</f>
        <v>5</v>
      </c>
      <c r="J24" s="8"/>
      <c r="K24" s="8"/>
      <c r="L24" s="8"/>
    </row>
    <row r="25" spans="1:12" ht="409.6" hidden="1" x14ac:dyDescent="0.3">
      <c r="A25" s="8">
        <v>24</v>
      </c>
      <c r="B25" s="8"/>
      <c r="C25" s="8" t="s">
        <v>60</v>
      </c>
      <c r="D25" s="8"/>
      <c r="E25" s="8" t="s">
        <v>32</v>
      </c>
      <c r="F25" s="10" t="s">
        <v>65</v>
      </c>
      <c r="G25" s="8" t="s">
        <v>30</v>
      </c>
      <c r="H25" s="8" t="s">
        <v>31</v>
      </c>
      <c r="I25" s="8" cm="1">
        <f t="array" ref="I25">_xlfn.SWITCH(H25,"XS",1,"S",2,"M",3,"L",5,"XL",8,"XXL",13,"XXXL",21,"")</f>
        <v>5</v>
      </c>
      <c r="J25" s="8"/>
      <c r="K25" s="8"/>
      <c r="L25" s="8"/>
    </row>
    <row r="26" spans="1:12" hidden="1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hidden="1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hidden="1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hidden="1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hidden="1" x14ac:dyDescent="0.3">
      <c r="A30" s="8"/>
      <c r="B30" s="8"/>
      <c r="C30" s="8"/>
      <c r="D30" s="8"/>
      <c r="E30" s="8"/>
      <c r="F30" s="10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hidden="1" x14ac:dyDescent="0.3">
      <c r="A31" s="8"/>
      <c r="B31" s="8"/>
      <c r="C31" s="8"/>
      <c r="D31" s="8"/>
      <c r="E31" s="8"/>
      <c r="F31" s="10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hidden="1" x14ac:dyDescent="0.3">
      <c r="A32" s="8"/>
      <c r="B32" s="8"/>
      <c r="C32" s="8"/>
      <c r="D32" s="8"/>
      <c r="E32" s="8"/>
      <c r="F32" s="10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hidden="1" x14ac:dyDescent="0.3">
      <c r="A33" s="8"/>
      <c r="B33" s="8"/>
      <c r="C33" s="8"/>
      <c r="D33" s="8"/>
      <c r="E33" s="8"/>
      <c r="F33" s="7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hidden="1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hidden="1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hidden="1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hidden="1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hidden="1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hidden="1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hidden="1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hidden="1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hidden="1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hidden="1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hidden="1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hidden="1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hidden="1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hidden="1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hidden="1" x14ac:dyDescent="0.3">
      <c r="A48" s="8"/>
      <c r="B48" s="8"/>
      <c r="C48" s="8"/>
      <c r="D48" s="8"/>
      <c r="E48" s="8"/>
      <c r="F48" s="9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hidden="1" x14ac:dyDescent="0.3">
      <c r="A49" s="8"/>
      <c r="B49" s="8"/>
      <c r="C49" s="8"/>
      <c r="D49" s="8"/>
      <c r="E49" s="8"/>
      <c r="F49" s="9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hidden="1" x14ac:dyDescent="0.3">
      <c r="A50" s="8"/>
      <c r="B50" s="8"/>
      <c r="C50" s="8"/>
      <c r="D50" s="8"/>
      <c r="E50" s="8"/>
      <c r="F50" s="9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hidden="1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hidden="1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hidden="1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hidden="1" x14ac:dyDescent="0.3">
      <c r="A54" s="8"/>
      <c r="B54" s="8"/>
      <c r="C54" s="8"/>
      <c r="D54" s="8"/>
      <c r="E54" s="8"/>
      <c r="F54" s="10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hidden="1" x14ac:dyDescent="0.3">
      <c r="A55" s="8"/>
      <c r="B55" s="8"/>
      <c r="C55" s="8"/>
      <c r="D55" s="8"/>
      <c r="E55" s="8"/>
      <c r="F55" s="10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hidden="1" x14ac:dyDescent="0.3">
      <c r="A56" s="8"/>
      <c r="B56" s="8"/>
      <c r="C56" s="8"/>
      <c r="D56" s="8"/>
      <c r="E56" s="8"/>
      <c r="F56" s="10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hidden="1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hidden="1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hidden="1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hidden="1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hidden="1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hidden="1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hidden="1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hidden="1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hidden="1" x14ac:dyDescent="0.3">
      <c r="A65" s="8"/>
      <c r="B65" s="8"/>
      <c r="C65" s="8"/>
      <c r="D65" s="8"/>
      <c r="E65" s="8"/>
      <c r="F65" s="9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hidden="1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hidden="1" x14ac:dyDescent="0.3">
      <c r="A67" s="8"/>
      <c r="B67" s="8"/>
      <c r="C67" s="8"/>
      <c r="D67" s="8"/>
      <c r="E67" s="8"/>
      <c r="F67" s="9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hidden="1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hidden="1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hidden="1" x14ac:dyDescent="0.3">
      <c r="A70" s="8"/>
      <c r="B70" s="8"/>
      <c r="C70" s="8"/>
      <c r="D70" s="8"/>
      <c r="E70" s="8"/>
      <c r="F70" s="7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hidden="1" x14ac:dyDescent="0.3">
      <c r="A71" s="8"/>
      <c r="B71" s="8"/>
      <c r="C71" s="8"/>
      <c r="D71" s="8"/>
      <c r="E71" s="8"/>
      <c r="F71" s="7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hidden="1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hidden="1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hidden="1" x14ac:dyDescent="0.3">
      <c r="A74" s="8"/>
      <c r="B74" s="8"/>
      <c r="C74" s="8"/>
      <c r="D74" s="8"/>
      <c r="E74" s="8"/>
      <c r="F74" s="9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hidden="1" x14ac:dyDescent="0.3">
      <c r="A75" s="8"/>
      <c r="B75" s="8"/>
      <c r="C75" s="8"/>
      <c r="D75" s="8"/>
      <c r="E75" s="8"/>
      <c r="F75" s="9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hidden="1" x14ac:dyDescent="0.3">
      <c r="A76" s="8"/>
      <c r="B76" s="8"/>
      <c r="C76" s="8"/>
      <c r="D76" s="8"/>
      <c r="E76" s="8"/>
      <c r="F76" s="9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hidden="1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hidden="1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hidden="1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hidden="1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hidden="1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hidden="1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hidden="1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hidden="1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hidden="1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hidden="1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hidden="1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hidden="1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hidden="1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hidden="1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hidden="1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hidden="1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hidden="1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hidden="1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hidden="1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hidden="1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hidden="1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hidden="1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hidden="1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hidden="1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hidden="1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hidden="1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hidden="1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hidden="1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hidden="1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hidden="1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hidden="1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hidden="1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hidden="1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  <row r="110" spans="1:12" hidden="1" x14ac:dyDescent="0.3">
      <c r="A110" s="8"/>
      <c r="B110" s="8"/>
      <c r="C110" s="8"/>
      <c r="D110" s="8"/>
      <c r="E110" s="8"/>
      <c r="F110" s="10"/>
      <c r="G110" s="8"/>
      <c r="H110" s="8"/>
      <c r="I110" s="8" t="str" cm="1">
        <f t="array" ref="I110">_xlfn.SWITCH(H110,"XS",1,"S",2,"M",3,"L",5,"XL",8,"XXL",13,"XXXL",21,"")</f>
        <v/>
      </c>
      <c r="J110" s="8"/>
      <c r="K110" s="8"/>
      <c r="L110" s="8"/>
    </row>
    <row r="111" spans="1:12" hidden="1" x14ac:dyDescent="0.3">
      <c r="A111" s="8"/>
      <c r="B111" s="8"/>
      <c r="C111" s="8"/>
      <c r="D111" s="8"/>
      <c r="E111" s="8"/>
      <c r="F111" s="10"/>
      <c r="G111" s="8"/>
      <c r="H111" s="8"/>
      <c r="I111" s="8" t="str" cm="1">
        <f t="array" ref="I111">_xlfn.SWITCH(H111,"XS",1,"S",2,"M",3,"L",5,"XL",8,"XXL",13,"XXXL",21,"")</f>
        <v/>
      </c>
      <c r="J111" s="8"/>
      <c r="K111" s="8"/>
      <c r="L111" s="8"/>
    </row>
    <row r="112" spans="1:12" hidden="1" x14ac:dyDescent="0.3">
      <c r="A112" s="8"/>
      <c r="B112" s="8"/>
      <c r="C112" s="8"/>
      <c r="D112" s="8"/>
      <c r="E112" s="8"/>
      <c r="F112" s="10"/>
      <c r="G112" s="8"/>
      <c r="H112" s="8"/>
      <c r="I112" s="8" t="str" cm="1">
        <f t="array" ref="I112">_xlfn.SWITCH(H112,"XS",1,"S",2,"M",3,"L",5,"XL",8,"XXL",13,"XXXL",21,"")</f>
        <v/>
      </c>
      <c r="J112" s="8"/>
      <c r="K112" s="8"/>
      <c r="L112" s="8"/>
    </row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</sheetData>
  <autoFilter ref="E1:E123" xr:uid="{00000000-0001-0000-0000-000000000000}">
    <filterColumn colId="0">
      <filters>
        <filter val="Frontend"/>
      </filters>
    </filterColumn>
  </autoFilter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L10"/>
  <sheetViews>
    <sheetView zoomScale="103" workbookViewId="0">
      <selection activeCell="V12" sqref="V12"/>
    </sheetView>
  </sheetViews>
  <sheetFormatPr defaultRowHeight="14.4" x14ac:dyDescent="0.3"/>
  <cols>
    <col min="1" max="1" width="4.88671875" style="2" bestFit="1" customWidth="1"/>
    <col min="2" max="2" width="10.88671875" style="2" bestFit="1" customWidth="1"/>
    <col min="3" max="3" width="9.77734375" style="5" customWidth="1"/>
    <col min="4" max="4" width="10.77734375" style="2" customWidth="1"/>
    <col min="5" max="5" width="8.88671875" style="2" customWidth="1"/>
  </cols>
  <sheetData>
    <row r="1" spans="1:12" ht="43.2" x14ac:dyDescent="0.3">
      <c r="A1" s="2" t="s">
        <v>12</v>
      </c>
      <c r="B1" s="2" t="s">
        <v>69</v>
      </c>
      <c r="C1" s="1" t="s">
        <v>13</v>
      </c>
      <c r="D1" s="1" t="s">
        <v>14</v>
      </c>
      <c r="E1" s="1" t="s">
        <v>15</v>
      </c>
    </row>
    <row r="2" spans="1:12" x14ac:dyDescent="0.3">
      <c r="A2" s="2">
        <v>0</v>
      </c>
      <c r="B2" s="14">
        <v>46237</v>
      </c>
      <c r="C2" s="4">
        <f>82-SUM(E$2:E2)</f>
        <v>82</v>
      </c>
      <c r="D2" s="1">
        <f xml:space="preserve"> 82*(1-1/8*A2)</f>
        <v>82</v>
      </c>
      <c r="E2" s="1">
        <v>0</v>
      </c>
    </row>
    <row r="3" spans="1:12" x14ac:dyDescent="0.3">
      <c r="A3" s="2">
        <v>1</v>
      </c>
      <c r="B3" s="14">
        <v>46238</v>
      </c>
      <c r="C3" s="4">
        <f>82-SUM(E$2:E3)</f>
        <v>74</v>
      </c>
      <c r="D3" s="1">
        <f t="shared" ref="D3:D10" si="0" xml:space="preserve"> 82*(1-1/8*A3)</f>
        <v>71.75</v>
      </c>
      <c r="E3" s="2">
        <v>8</v>
      </c>
    </row>
    <row r="4" spans="1:12" x14ac:dyDescent="0.3">
      <c r="A4" s="2">
        <v>2</v>
      </c>
      <c r="B4" s="14">
        <v>46239</v>
      </c>
      <c r="C4" s="4">
        <f>82-SUM(E$2:E4)</f>
        <v>66</v>
      </c>
      <c r="D4" s="1">
        <f t="shared" si="0"/>
        <v>61.5</v>
      </c>
      <c r="E4" s="2">
        <v>8</v>
      </c>
      <c r="L4" s="3"/>
    </row>
    <row r="5" spans="1:12" x14ac:dyDescent="0.3">
      <c r="A5" s="2">
        <v>3</v>
      </c>
      <c r="B5" s="14">
        <v>46240</v>
      </c>
      <c r="C5" s="4">
        <f>82-SUM(E$2:E5)</f>
        <v>66</v>
      </c>
      <c r="D5" s="1">
        <f t="shared" si="0"/>
        <v>51.25</v>
      </c>
      <c r="E5" s="2">
        <v>0</v>
      </c>
    </row>
    <row r="6" spans="1:12" x14ac:dyDescent="0.3">
      <c r="A6" s="2">
        <v>4</v>
      </c>
      <c r="B6" s="14">
        <v>46241</v>
      </c>
      <c r="C6" s="4">
        <f>82-SUM(E$2:E6)</f>
        <v>66</v>
      </c>
      <c r="D6" s="1">
        <f t="shared" si="0"/>
        <v>41</v>
      </c>
      <c r="E6" s="2">
        <v>0</v>
      </c>
    </row>
    <row r="7" spans="1:12" x14ac:dyDescent="0.3">
      <c r="A7" s="2">
        <v>5</v>
      </c>
      <c r="B7" s="14">
        <v>46244</v>
      </c>
      <c r="C7" s="4">
        <f>82-SUM(E$2:E7)</f>
        <v>66</v>
      </c>
      <c r="D7" s="1">
        <f t="shared" si="0"/>
        <v>30.75</v>
      </c>
      <c r="E7" s="2">
        <v>0</v>
      </c>
    </row>
    <row r="8" spans="1:12" x14ac:dyDescent="0.3">
      <c r="A8" s="2">
        <v>6</v>
      </c>
      <c r="B8" s="14">
        <v>46245</v>
      </c>
      <c r="C8" s="4">
        <f>82-SUM(E$2:E8)</f>
        <v>66</v>
      </c>
      <c r="D8" s="1">
        <f t="shared" si="0"/>
        <v>20.5</v>
      </c>
      <c r="E8" s="2">
        <v>0</v>
      </c>
    </row>
    <row r="9" spans="1:12" x14ac:dyDescent="0.3">
      <c r="A9" s="2">
        <v>7</v>
      </c>
      <c r="B9" s="14">
        <v>46246</v>
      </c>
      <c r="C9" s="4">
        <f>82-SUM(E$2:E9)</f>
        <v>66</v>
      </c>
      <c r="D9" s="1">
        <f t="shared" si="0"/>
        <v>10.25</v>
      </c>
      <c r="E9" s="2">
        <v>0</v>
      </c>
    </row>
    <row r="10" spans="1:12" x14ac:dyDescent="0.3">
      <c r="A10" s="2">
        <v>8</v>
      </c>
      <c r="B10" s="14">
        <v>46247</v>
      </c>
      <c r="C10" s="4">
        <f>82-SUM(E$2:E10)</f>
        <v>66</v>
      </c>
      <c r="D10" s="1">
        <f t="shared" si="0"/>
        <v>0</v>
      </c>
      <c r="E10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2026-08-12T16:41:15Z</dcterms:modified>
</cp:coreProperties>
</file>