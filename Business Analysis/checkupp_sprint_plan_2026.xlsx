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BBAE6161-9D0C-475D-B5AB-1CB4A12B3B0A}"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4" i="5" a="1"/>
  <c r="I4" i="5" s="1"/>
  <c r="I5" i="5" a="1"/>
  <c r="I5" i="5" s="1"/>
  <c r="I17" i="5" a="1"/>
  <c r="I17" i="5" s="1"/>
  <c r="I16" i="5" a="1"/>
  <c r="I16" i="5" s="1"/>
  <c r="I15" i="5" a="1"/>
  <c r="I15" i="5" s="1"/>
  <c r="I13" i="5" a="1"/>
  <c r="I13" i="5" s="1"/>
  <c r="I14" i="5" a="1"/>
  <c r="I14" i="5" s="1"/>
  <c r="I12" i="5" a="1"/>
  <c r="I12" i="5" s="1"/>
  <c r="I11" i="5" a="1"/>
  <c r="I11" i="5" s="1"/>
  <c r="I10" i="5" a="1"/>
  <c r="I10" i="5" s="1"/>
  <c r="I3" i="5" a="1"/>
  <c r="I3" i="5" s="1"/>
  <c r="I6" i="5" a="1"/>
  <c r="I6" i="5" s="1"/>
  <c r="I7" i="5" a="1"/>
  <c r="I7" i="5" s="1"/>
  <c r="I8" i="5" a="1"/>
  <c r="I8" i="5" s="1"/>
  <c r="I9" i="5" a="1"/>
  <c r="I9" i="5" s="1"/>
  <c r="I111" i="5" a="1"/>
  <c r="I111" i="5" s="1"/>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<sst xmlns="http://schemas.openxmlformats.org/spreadsheetml/2006/main" count="317" uniqueCount="119">
  <si>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</si>
  <si>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</si>
  <si>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</si>
  <si>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</si>
  <si>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</si>
  <si>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</si>
  <si>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</si>
  <si>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</si>
  <si>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</si>
  <si>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</si>
  <si>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</si>
  <si>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</si>
  <si>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</si>
  <si>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</si>
  <si>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</si>
  <si>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</si>
  <si>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</si>
  <si>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</si>
  <si>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</si>
  <si>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</si>
  <si>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</si>
  <si>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</si>
  <si>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</si>
  <si>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</si>
  <si>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</si>
  <si>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</si>
  <si>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</si>
  <si>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</si>
  <si>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</si>
  <si>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</si>
  <si>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</si>
  <si>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</si>
  <si>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</si>
  <si>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</si>
  <si>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</si>
  <si>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</si>
  <si>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</si>
  <si>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</si>
  <si>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</si>
  <si>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</si>
  <si>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</si>
  <si>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</si>
  <si>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</si>
  <si>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</si>
  <si>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</si>
  <si>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</si>
  <si>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</si>
  <si>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</si>
  <si>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</si>
  <si>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</si>
  <si>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</si>
  <si>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</si>
  <si>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</si>
  <si>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</si>
  <si>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</si>
  <si>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</si>
  <si>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</si>
  <si>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</si>
  <si>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</si>
  <si>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</si>
  <si>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</si>
  <si>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</si>
  <si>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</si>
  <si>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</si>
  <si>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</si>
  <si>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</si>
  <si>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</si>
  <si>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</si>
  <si>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</si>
  <si>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</si>
  <si>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</si>
  <si>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</si>
  <si>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</si>
  <si>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</si>
  <si>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</si>
  <si>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</si>
  <si>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</si>
  <si>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</si>
  <si>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</si>
  <si>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</si>
  <si>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</si>
  <si>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</si>
  <si>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</si>
  <si>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</si>
  <si>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</si>
  <si>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</si>
  <si>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</si>
  <si>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</si>
  <si>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</si>
  <si>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</si>
  <si>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</si>
  <si>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</si>
  <si>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</si>
  <si>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</si>
  <si>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</si>
  <si>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</si>
  <si>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</si>
  <si>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</si>
  <si>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</si>
  <si>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</si>
  <si>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</si>
  <si>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</si>
  <si>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</si>
  <si>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</si>
  <si>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</si>
  <si>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</si>
  <si>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</si>
  <si>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</si>
  <si>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</si>
  <si>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</si>
  <si>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</si>
  <si>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</si>
  <si>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</si>
  <si>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</si>
  <si>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</si>
  <si>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Cardiovascular Camera Scanner UI, Permission Handling &amp; Torch Toggle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</si>
  <si>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`checkupp-mobile-main/lib/utils/ocrUtils.ts`
* `checkupp-mobile/lib/utils/imageUtils.ts
* `checkupp-mobile-main/components/camera/ScanMonitorModal.tsx`
* `checkupp-mobile-main/app/(tabs)/cardiovascular.tsx`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</si>
  <si>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`checkupp-mobile-main/app/(tabs)/diabetes.tsx`
* `checkupp-mobile/lib/utils/imageUtils.ts
* `checkupp-mobile-main/components/camera/GlucometerScannerModal.tsx`
* `checkupp-mobile-main/components/ReadingTypeBottomSheet.tsx`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</si>
  <si>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Implement Shared Camera Performance, Permission, Timeout Handling &amp; Privacy with Jest TDD
Target Files:
• checkupp-mobile-main/lib/scanner/deviceScanner.js
• checkupp-mobile/components/camera/ScanMonitorModal.tsx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</si>
</sst>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9">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8" borderId="1" xfId="0" applyFont="1" applyFill="1" applyBorder="1" applyAlignment="1">
      <alignment horizontal="center" vertical="center"/>
    </xf>
    <xf numFmtId="0" fontId="3" fillId="8"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75</c:v>
                </c:pt>
                <c:pt idx="4">
                  <c:v>75</c:v>
                </c:pt>
                <c:pt idx="5">
                  <c:v>75</c:v>
                </c:pt>
                <c:pt idx="6">
                  <c:v>75</c:v>
                </c:pt>
                <c:pt idx="7">
                  <c:v>75</c:v>
                </c:pt>
                <c:pt idx="8">
                  <c:v>75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3" t="s">
        <v>12</v>
      </c>
      <c r="B1" s="23" t="s">
        <v>62</v>
      </c>
      <c r="C1" s="24" t="s">
        <v>13</v>
      </c>
      <c r="D1" s="24" t="s">
        <v>14</v>
      </c>
      <c r="E1" s="24" t="s">
        <v>15</v>
      </c>
    </row>
    <row r="2" spans="1:12" x14ac:dyDescent="0.3">
      <c r="A2" s="19">
        <v>0</v>
      </c>
      <c r="B2" s="20">
        <v>46237</v>
      </c>
      <c r="C2" s="21">
        <f>82-SUM(E$2:E2)</f>
        <v>82</v>
      </c>
      <c r="D2" s="22">
        <f xml:space="preserve"> 82*(1-1/8*A2)</f>
        <v>82</v>
      </c>
      <c r="E2" s="22">
        <v>0</v>
      </c>
    </row>
    <row r="3" spans="1:12" x14ac:dyDescent="0.3">
      <c r="A3" s="19">
        <v>1</v>
      </c>
      <c r="B3" s="20">
        <v>46238</v>
      </c>
      <c r="C3" s="21">
        <f>82-SUM(E$2:E3)</f>
        <v>74</v>
      </c>
      <c r="D3" s="22">
        <f t="shared" ref="D3:D10" si="0" xml:space="preserve"> 82*(1-1/8*A3)</f>
        <v>71.75</v>
      </c>
      <c r="E3" s="19">
        <v>8</v>
      </c>
    </row>
    <row r="4" spans="1:12" x14ac:dyDescent="0.3">
      <c r="A4" s="19">
        <v>2</v>
      </c>
      <c r="B4" s="20">
        <v>46239</v>
      </c>
      <c r="C4" s="21">
        <f>82-SUM(E$2:E4)</f>
        <v>66</v>
      </c>
      <c r="D4" s="22">
        <f t="shared" si="0"/>
        <v>61.5</v>
      </c>
      <c r="E4" s="19">
        <v>8</v>
      </c>
      <c r="L4" s="2"/>
    </row>
    <row r="5" spans="1:12" x14ac:dyDescent="0.3">
      <c r="A5" s="19">
        <v>3</v>
      </c>
      <c r="B5" s="20">
        <v>46240</v>
      </c>
      <c r="C5" s="21">
        <f>82-SUM(E$2:E5)</f>
        <v>66</v>
      </c>
      <c r="D5" s="22">
        <f t="shared" si="0"/>
        <v>51.25</v>
      </c>
      <c r="E5" s="19">
        <v>0</v>
      </c>
    </row>
    <row r="6" spans="1:12" x14ac:dyDescent="0.3">
      <c r="A6" s="19">
        <v>4</v>
      </c>
      <c r="B6" s="20">
        <v>46241</v>
      </c>
      <c r="C6" s="21">
        <f>82-SUM(E$2:E6)</f>
        <v>66</v>
      </c>
      <c r="D6" s="22">
        <f t="shared" si="0"/>
        <v>41</v>
      </c>
      <c r="E6" s="19">
        <v>0</v>
      </c>
    </row>
    <row r="7" spans="1:12" x14ac:dyDescent="0.3">
      <c r="A7" s="19">
        <v>5</v>
      </c>
      <c r="B7" s="20">
        <v>46244</v>
      </c>
      <c r="C7" s="21">
        <f>82-SUM(E$2:E7)</f>
        <v>62</v>
      </c>
      <c r="D7" s="22">
        <f t="shared" si="0"/>
        <v>30.75</v>
      </c>
      <c r="E7" s="19">
        <v>4</v>
      </c>
    </row>
    <row r="8" spans="1:12" x14ac:dyDescent="0.3">
      <c r="A8" s="19">
        <v>6</v>
      </c>
      <c r="B8" s="20">
        <v>46245</v>
      </c>
      <c r="C8" s="21">
        <f>82-SUM(E$2:E8)</f>
        <v>52</v>
      </c>
      <c r="D8" s="22">
        <f t="shared" si="0"/>
        <v>20.5</v>
      </c>
      <c r="E8" s="19">
        <v>10</v>
      </c>
    </row>
    <row r="9" spans="1:12" x14ac:dyDescent="0.3">
      <c r="A9" s="19">
        <v>7</v>
      </c>
      <c r="B9" s="20">
        <v>46246</v>
      </c>
      <c r="C9" s="21">
        <f>82-SUM(E$2:E9)</f>
        <v>37</v>
      </c>
      <c r="D9" s="22">
        <f t="shared" si="0"/>
        <v>10.25</v>
      </c>
      <c r="E9" s="19">
        <v>15</v>
      </c>
    </row>
    <row r="10" spans="1:12" x14ac:dyDescent="0.3">
      <c r="A10" s="19">
        <v>8</v>
      </c>
      <c r="B10" s="20">
        <v>46247</v>
      </c>
      <c r="C10" s="21">
        <f>82-SUM(E$2:E10)</f>
        <v>0</v>
      </c>
      <c r="D10" s="22">
        <f t="shared" si="0"/>
        <v>0</v>
      </c>
      <c r="E10" s="19">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1"/>
  <sheetViews>
    <sheetView tabSelected="1" topLeftCell="A19" workbookViewId="0">
      <selection activeCell="J19" sqref="J19"/>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102</v>
      </c>
      <c r="C2" s="12" t="s">
        <v>97</v>
      </c>
      <c r="D2" s="12"/>
      <c r="E2" s="12" t="s">
        <v>31</v>
      </c>
      <c r="F2" s="13" t="s">
        <v>108</v>
      </c>
      <c r="G2" s="12" t="s">
        <v>29</v>
      </c>
      <c r="H2" s="12" t="s">
        <v>27</v>
      </c>
      <c r="I2" s="12">
        <f t="array" ref="I2">_xlfn.SWITCH(H2,"XS",1,"S",2,"M",3,"L",5,"XL",8,"XXL",13,"XXXL",21,"")</f>
        <v>3</v>
      </c>
      <c r="J2" s="12" t="s">
        <v>76</v>
      </c>
      <c r="K2" s="12"/>
      <c r="L2" s="12"/>
    </row>
    <row r="3" spans="1:12" ht="158.4" x14ac:dyDescent="0.3">
      <c r="A3" s="12">
        <v>2</v>
      </c>
      <c r="B3" s="12" t="s">
        <v>102</v>
      </c>
      <c r="C3" s="12" t="s">
        <v>99</v>
      </c>
      <c r="D3" s="12"/>
      <c r="E3" s="12" t="s">
        <v>31</v>
      </c>
      <c r="F3" s="13" t="s">
        <v>109</v>
      </c>
      <c r="G3" s="12" t="s">
        <v>29</v>
      </c>
      <c r="H3" s="12" t="s">
        <v>27</v>
      </c>
      <c r="I3" s="12">
        <f t="array" ref="I3">_xlfn.SWITCH(H3,"XS",1,"S",2,"M",3,"L",5,"XL",8,"XXL",13,"XXXL",21,"")</f>
        <v>3</v>
      </c>
      <c r="J3" s="12" t="s">
        <v>76</v>
      </c>
      <c r="K3" s="12"/>
      <c r="L3" s="12"/>
    </row>
    <row r="4" spans="1:12" ht="403.2" x14ac:dyDescent="0.3">
      <c r="A4" s="12">
        <v>3</v>
      </c>
      <c r="B4" s="12" t="s">
        <v>102</v>
      </c>
      <c r="C4" s="12" t="s">
        <v>97</v>
      </c>
      <c r="D4" s="12"/>
      <c r="E4" s="12" t="s">
        <v>31</v>
      </c>
      <c r="F4" s="18" t="s">
        <v>114</v>
      </c>
      <c r="G4" s="12" t="s">
        <v>29</v>
      </c>
      <c r="H4" s="12" t="s">
        <v>30</v>
      </c>
      <c r="I4" s="12">
        <f t="array" ref="I4">_xlfn.SWITCH(H4,"XS",1,"S",2,"M",3,"L",5,"XL",8,"XXL",13,"XXXL",21,"")</f>
        <v>5</v>
      </c>
      <c r="J4" s="12"/>
      <c r="K4" s="12"/>
      <c r="L4" s="12"/>
    </row>
    <row r="5" spans="1:12" ht="409.6" x14ac:dyDescent="0.3">
      <c r="A5" s="12">
        <v>4</v>
      </c>
      <c r="B5" s="12" t="s">
        <v>102</v>
      </c>
      <c r="C5" s="12" t="s">
        <v>99</v>
      </c>
      <c r="D5" s="12"/>
      <c r="E5" s="12" t="s">
        <v>31</v>
      </c>
      <c r="F5" s="18" t="s">
        <v>113</v>
      </c>
      <c r="G5" s="12" t="s">
        <v>29</v>
      </c>
      <c r="H5" s="12" t="s">
        <v>30</v>
      </c>
      <c r="I5" s="12">
        <f t="array" ref="I5">_xlfn.SWITCH(H5,"XS",1,"S",2,"M",3,"L",5,"XL",8,"XXL",13,"XXXL",21,"")</f>
        <v>5</v>
      </c>
      <c r="J5" s="12"/>
      <c r="K5" s="12"/>
      <c r="L5" s="12"/>
    </row>
    <row r="6" spans="1:12" ht="187.2" x14ac:dyDescent="0.3">
      <c r="A6" s="12">
        <v>5</v>
      </c>
      <c r="B6" s="12" t="s">
        <v>102</v>
      </c>
      <c r="C6" s="12" t="s">
        <v>98</v>
      </c>
      <c r="D6" s="12"/>
      <c r="E6" s="12" t="s">
        <v>22</v>
      </c>
      <c r="F6" s="18" t="s">
        <v>110</v>
      </c>
      <c r="G6" s="12" t="s">
        <v>29</v>
      </c>
      <c r="H6" s="12" t="s">
        <v>30</v>
      </c>
      <c r="I6" s="12">
        <f t="array" ref="I6">_xlfn.SWITCH(H6,"XS",1,"S",2,"M",3,"L",5,"XL",8,"XXL",13,"XXXL",21,"")</f>
        <v>5</v>
      </c>
      <c r="J6" s="12" t="s">
        <v>76</v>
      </c>
      <c r="K6" s="12"/>
      <c r="L6" s="12"/>
    </row>
    <row r="7" spans="1:12" ht="144" x14ac:dyDescent="0.3">
      <c r="A7" s="12">
        <v>6</v>
      </c>
      <c r="B7" s="12" t="s">
        <v>102</v>
      </c>
      <c r="C7" s="12" t="s">
        <v>100</v>
      </c>
      <c r="D7" s="12"/>
      <c r="E7" s="12" t="s">
        <v>20</v>
      </c>
      <c r="F7" s="18" t="s">
        <v>101</v>
      </c>
      <c r="G7" s="12" t="s">
        <v>29</v>
      </c>
      <c r="H7" s="12" t="s">
        <v>23</v>
      </c>
      <c r="I7" s="12">
        <f t="array" ref="I7">_xlfn.SWITCH(H7,"XS",1,"S",2,"M",3,"L",5,"XL",8,"XXL",13,"XXXL",21,"")</f>
        <v>2</v>
      </c>
      <c r="J7" s="12" t="s">
        <v>76</v>
      </c>
      <c r="K7" s="12"/>
      <c r="L7" s="12"/>
    </row>
    <row r="8" spans="1:12" ht="144" x14ac:dyDescent="0.3">
      <c r="A8" s="12">
        <v>7</v>
      </c>
      <c r="B8" s="12" t="s">
        <v>102</v>
      </c>
      <c r="C8" s="12" t="s">
        <v>103</v>
      </c>
      <c r="D8" s="12"/>
      <c r="E8" s="12" t="s">
        <v>20</v>
      </c>
      <c r="F8" s="13" t="s">
        <v>111</v>
      </c>
      <c r="G8" s="12" t="s">
        <v>29</v>
      </c>
      <c r="H8" s="12" t="s">
        <v>27</v>
      </c>
      <c r="I8" s="12">
        <f t="array" ref="I8">_xlfn.SWITCH(H8,"XS",1,"S",2,"M",3,"L",5,"XL",8,"XXL",13,"XXXL",21,"")</f>
        <v>3</v>
      </c>
      <c r="J8" s="12" t="s">
        <v>76</v>
      </c>
      <c r="K8" s="12"/>
      <c r="L8" s="12"/>
    </row>
    <row r="9" spans="1:12" ht="100.8" x14ac:dyDescent="0.3">
      <c r="A9" s="12">
        <v>8</v>
      </c>
      <c r="B9" s="12" t="s">
        <v>102</v>
      </c>
      <c r="C9" s="12">
        <v>6.5</v>
      </c>
      <c r="D9" s="12"/>
      <c r="E9" s="12" t="s">
        <v>20</v>
      </c>
      <c r="F9" s="18" t="s">
        <v>104</v>
      </c>
      <c r="G9" s="12" t="s">
        <v>29</v>
      </c>
      <c r="H9" s="12" t="s">
        <v>23</v>
      </c>
      <c r="I9" s="12">
        <f t="array" ref="I9">_xlfn.SWITCH(H9,"XS",1,"S",2,"M",3,"L",5,"XL",8,"XXL",13,"XXXL",21,"")</f>
        <v>2</v>
      </c>
      <c r="J9" s="12" t="s">
        <v>76</v>
      </c>
      <c r="K9" s="12"/>
      <c r="L9" s="12"/>
    </row>
    <row r="10" spans="1:12" ht="115.2" x14ac:dyDescent="0.3">
      <c r="A10" s="12">
        <v>9</v>
      </c>
      <c r="B10" s="12" t="s">
        <v>102</v>
      </c>
      <c r="C10" s="12" t="s">
        <v>105</v>
      </c>
      <c r="D10" s="12"/>
      <c r="E10" s="12" t="s">
        <v>20</v>
      </c>
      <c r="F10" s="13" t="s">
        <v>112</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115</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116</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117</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83</v>
      </c>
      <c r="G14" s="14" t="s">
        <v>24</v>
      </c>
      <c r="H14" s="14" t="s">
        <v>27</v>
      </c>
      <c r="I14" s="14">
        <f t="array" ref="I14">_xlfn.SWITCH(H14,"XS",1,"S",2,"M",3,"L",5,"XL",8,"XXL",13,"XXXL",21,"")</f>
        <v>3</v>
      </c>
      <c r="J14" s="14" t="s">
        <v>76</v>
      </c>
      <c r="K14" s="14"/>
      <c r="L14" s="14"/>
    </row>
    <row r="15" spans="1:12" ht="158.4" x14ac:dyDescent="0.3">
      <c r="A15" s="16">
        <v>14</v>
      </c>
      <c r="B15" s="16" t="s">
        <v>84</v>
      </c>
      <c r="C15" s="16"/>
      <c r="D15" s="16" t="s">
        <v>85</v>
      </c>
      <c r="E15" s="16" t="s">
        <v>22</v>
      </c>
      <c r="F15" s="17" t="s">
        <v>86</v>
      </c>
      <c r="G15" s="16" t="s">
        <v>24</v>
      </c>
      <c r="H15" s="16" t="s">
        <v>27</v>
      </c>
      <c r="I15" s="16">
        <f t="array" ref="I15">_xlfn.SWITCH(H15,"XS",1,"S",2,"M",3,"L",5,"XL",8,"XXL",13,"XXXL",21,"")</f>
        <v>3</v>
      </c>
      <c r="J15" s="16" t="s">
        <v>76</v>
      </c>
      <c r="K15" s="16"/>
      <c r="L15" s="16"/>
    </row>
    <row r="16" spans="1:12" ht="244.8" x14ac:dyDescent="0.3">
      <c r="A16" s="6">
        <v>15</v>
      </c>
      <c r="B16" s="6" t="s">
        <v>77</v>
      </c>
      <c r="C16" s="6">
        <v>19.3</v>
      </c>
      <c r="D16" s="6" t="s">
        <v>87</v>
      </c>
      <c r="E16" s="6" t="s">
        <v>31</v>
      </c>
      <c r="F16" s="8" t="s">
        <v>88</v>
      </c>
      <c r="G16" s="6" t="s">
        <v>29</v>
      </c>
      <c r="H16" s="6" t="s">
        <v>30</v>
      </c>
      <c r="I16" s="6">
        <f t="array" ref="I16">_xlfn.SWITCH(H16,"XS",1,"S",2,"M",3,"L",5,"XL",8,"XXL",13,"XXXL",21,"")</f>
        <v>5</v>
      </c>
      <c r="J16" s="6"/>
      <c r="K16" s="6"/>
      <c r="L16" s="6"/>
    </row>
    <row r="17" spans="1:12" ht="230.4" x14ac:dyDescent="0.3">
      <c r="A17" s="6">
        <v>16</v>
      </c>
      <c r="B17" s="6" t="s">
        <v>80</v>
      </c>
      <c r="C17" s="6">
        <v>20.3</v>
      </c>
      <c r="D17" s="6" t="s">
        <v>89</v>
      </c>
      <c r="E17" s="6" t="s">
        <v>31</v>
      </c>
      <c r="F17" s="8" t="s">
        <v>90</v>
      </c>
      <c r="G17" s="6" t="s">
        <v>29</v>
      </c>
      <c r="H17" s="6" t="s">
        <v>30</v>
      </c>
      <c r="I17" s="6">
        <f t="array" ref="I17">_xlfn.SWITCH(H17,"XS",1,"S",2,"M",3,"L",5,"XL",8,"XXL",13,"XXXL",21,"")</f>
        <v>5</v>
      </c>
      <c r="J17" s="6"/>
      <c r="K17" s="6"/>
      <c r="L17" s="6"/>
    </row>
    <row r="18" spans="1:12" ht="244.8" x14ac:dyDescent="0.3">
      <c r="A18" s="6">
        <v>17</v>
      </c>
      <c r="B18" s="6" t="s">
        <v>80</v>
      </c>
      <c r="C18" s="6">
        <v>20.399999999999999</v>
      </c>
      <c r="D18" s="6" t="s">
        <v>91</v>
      </c>
      <c r="E18" s="6" t="s">
        <v>31</v>
      </c>
      <c r="F18" s="8" t="s">
        <v>92</v>
      </c>
      <c r="G18" s="6" t="s">
        <v>29</v>
      </c>
      <c r="H18" s="6" t="s">
        <v>30</v>
      </c>
      <c r="I18" s="6">
        <v>5</v>
      </c>
      <c r="J18" s="6"/>
      <c r="K18" s="6"/>
      <c r="L18" s="6"/>
    </row>
    <row r="19" spans="1:12" ht="316.8" x14ac:dyDescent="0.3">
      <c r="A19" s="6">
        <v>18</v>
      </c>
      <c r="B19" s="6" t="s">
        <v>93</v>
      </c>
      <c r="C19" s="6" t="s">
        <v>106</v>
      </c>
      <c r="D19" s="6" t="s">
        <v>94</v>
      </c>
      <c r="E19" s="6" t="s">
        <v>31</v>
      </c>
      <c r="F19" s="8" t="s">
        <v>118</v>
      </c>
      <c r="G19" s="6" t="s">
        <v>29</v>
      </c>
      <c r="H19" s="6" t="s">
        <v>30</v>
      </c>
      <c r="I19" s="6">
        <v>5</v>
      </c>
      <c r="J19" s="6"/>
      <c r="K19" s="6"/>
      <c r="L19" s="6"/>
    </row>
    <row r="20" spans="1:12" ht="345.6" x14ac:dyDescent="0.3">
      <c r="A20" s="6">
        <v>19</v>
      </c>
      <c r="B20" s="6" t="s">
        <v>93</v>
      </c>
      <c r="C20" s="6" t="s">
        <v>107</v>
      </c>
      <c r="D20" s="6" t="s">
        <v>96</v>
      </c>
      <c r="E20" s="6" t="s">
        <v>31</v>
      </c>
      <c r="F20" s="8" t="s">
        <v>95</v>
      </c>
      <c r="G20" s="6" t="s">
        <v>29</v>
      </c>
      <c r="H20" s="6" t="s">
        <v>30</v>
      </c>
      <c r="I20" s="6">
        <v>5</v>
      </c>
      <c r="J20" s="6"/>
      <c r="K20" s="6"/>
      <c r="L20" s="6"/>
    </row>
    <row r="21" spans="1:12" x14ac:dyDescent="0.3">
      <c r="A21" s="6"/>
      <c r="B21" s="6"/>
      <c r="C21" s="6"/>
      <c r="D21" s="6"/>
      <c r="E21" s="6"/>
      <c r="F21" s="8"/>
      <c r="G21" s="6"/>
      <c r="H21" s="6"/>
      <c r="I21" s="6"/>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8"/>
      <c r="G31" s="6"/>
      <c r="H31" s="6"/>
      <c r="I31" s="6" t="str">
        <f t="array" ref="I31">_xlfn.SWITCH(H31,"XS",1,"S",2,"M",3,"L",5,"XL",8,"XXL",13,"XXXL",21,"")</f>
        <v/>
      </c>
      <c r="J31" s="6"/>
      <c r="K31" s="6"/>
      <c r="L31" s="6"/>
    </row>
    <row r="32" spans="1:12" x14ac:dyDescent="0.3">
      <c r="A32" s="6"/>
      <c r="B32" s="6"/>
      <c r="C32" s="6"/>
      <c r="D32" s="6"/>
      <c r="E32" s="6"/>
      <c r="F32" s="5"/>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7"/>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8"/>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7"/>
      <c r="G66" s="6"/>
      <c r="H66" s="6"/>
      <c r="I66" s="6" t="str">
        <f t="array" ref="I66">_xlfn.SWITCH(H66,"XS",1,"S",2,"M",3,"L",5,"XL",8,"XXL",13,"XXXL",21,"")</f>
        <v/>
      </c>
      <c r="J66" s="6"/>
      <c r="K66" s="6"/>
      <c r="L66" s="6"/>
    </row>
    <row r="67" spans="1:12" x14ac:dyDescent="0.3">
      <c r="A67" s="6"/>
      <c r="B67" s="6"/>
      <c r="C67" s="6"/>
      <c r="D67" s="6"/>
      <c r="E67" s="6"/>
      <c r="F67" s="5"/>
      <c r="G67" s="6"/>
      <c r="H67" s="6"/>
      <c r="I67" s="6" t="str">
        <f t="array" ref="I67">_xlfn.SWITCH(H67,"XS",1,"S",2,"M",3,"L",5,"XL",8,"XXL",13,"XXXL",21,"")</f>
        <v/>
      </c>
      <c r="J67" s="6"/>
      <c r="K67" s="6"/>
      <c r="L67" s="6"/>
    </row>
    <row r="68" spans="1:12" x14ac:dyDescent="0.3">
      <c r="A68" s="6"/>
      <c r="B68" s="6"/>
      <c r="C68" s="6"/>
      <c r="D68" s="6"/>
      <c r="E68" s="6"/>
      <c r="F68" s="7"/>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5"/>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7"/>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row r="111" spans="1:12" x14ac:dyDescent="0.3">
      <c r="A111" s="6"/>
      <c r="B111" s="6"/>
      <c r="C111" s="6"/>
      <c r="D111" s="6"/>
      <c r="E111" s="6"/>
      <c r="F111" s="8"/>
      <c r="G111" s="6"/>
      <c r="H111" s="6"/>
      <c r="I111" s="6" t="str">
        <f t="array" ref="I111">_xlfn.SWITCH(H111,"XS",1,"S",2,"M",3,"L",5,"XL",8,"XXL",13,"XXXL",21,"")</f>
        <v/>
      </c>
      <c r="J111" s="6"/>
      <c r="K111" s="6"/>
      <c r="L111"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D14" sqref="D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3" t="s">
        <v>12</v>
      </c>
      <c r="B1" s="23" t="s">
        <v>62</v>
      </c>
      <c r="C1" s="24" t="s">
        <v>13</v>
      </c>
      <c r="D1" s="24" t="s">
        <v>14</v>
      </c>
      <c r="E1" s="24" t="s">
        <v>15</v>
      </c>
    </row>
    <row r="2" spans="1:12" x14ac:dyDescent="0.3">
      <c r="A2" s="19">
        <v>0</v>
      </c>
      <c r="B2" s="20">
        <v>46251</v>
      </c>
      <c r="C2" s="21">
        <f>75-SUM(E$2:E2)</f>
        <v>75</v>
      </c>
      <c r="D2" s="22">
        <f>75*(1-(A2/8))</f>
        <v>75</v>
      </c>
      <c r="E2" s="22">
        <v>0</v>
      </c>
    </row>
    <row r="3" spans="1:12" x14ac:dyDescent="0.3">
      <c r="A3" s="19">
        <v>1</v>
      </c>
      <c r="B3" s="20">
        <v>46252</v>
      </c>
      <c r="C3" s="21">
        <f>75-SUM(E$2:E3)</f>
        <v>75</v>
      </c>
      <c r="D3" s="22">
        <f t="shared" ref="D3:D10" si="0">75*(1-(A3/8))</f>
        <v>65.625</v>
      </c>
      <c r="E3" s="22">
        <v>0</v>
      </c>
    </row>
    <row r="4" spans="1:12" x14ac:dyDescent="0.3">
      <c r="A4" s="19">
        <v>2</v>
      </c>
      <c r="B4" s="20">
        <v>46253</v>
      </c>
      <c r="C4" s="21">
        <f>75-SUM(E$2:E4)</f>
        <v>75</v>
      </c>
      <c r="D4" s="22">
        <f t="shared" si="0"/>
        <v>56.25</v>
      </c>
      <c r="E4" s="22">
        <v>0</v>
      </c>
      <c r="L4" s="2"/>
    </row>
    <row r="5" spans="1:12" x14ac:dyDescent="0.3">
      <c r="A5" s="19">
        <v>3</v>
      </c>
      <c r="B5" s="20">
        <v>46254</v>
      </c>
      <c r="C5" s="21">
        <f>75-SUM(E$2:E5)</f>
        <v>75</v>
      </c>
      <c r="D5" s="22">
        <f t="shared" si="0"/>
        <v>46.875</v>
      </c>
      <c r="E5" s="22">
        <v>0</v>
      </c>
    </row>
    <row r="6" spans="1:12" x14ac:dyDescent="0.3">
      <c r="A6" s="19">
        <v>4</v>
      </c>
      <c r="B6" s="20">
        <v>46255</v>
      </c>
      <c r="C6" s="21">
        <f>75-SUM(E$2:E6)</f>
        <v>75</v>
      </c>
      <c r="D6" s="22">
        <f t="shared" si="0"/>
        <v>37.5</v>
      </c>
      <c r="E6" s="22">
        <v>0</v>
      </c>
    </row>
    <row r="7" spans="1:12" x14ac:dyDescent="0.3">
      <c r="A7" s="19">
        <v>5</v>
      </c>
      <c r="B7" s="20">
        <v>46258</v>
      </c>
      <c r="C7" s="21">
        <f>75-SUM(E$2:E7)</f>
        <v>75</v>
      </c>
      <c r="D7" s="22">
        <f t="shared" si="0"/>
        <v>28.125</v>
      </c>
      <c r="E7" s="22">
        <v>0</v>
      </c>
    </row>
    <row r="8" spans="1:12" x14ac:dyDescent="0.3">
      <c r="A8" s="19">
        <v>6</v>
      </c>
      <c r="B8" s="20">
        <v>46259</v>
      </c>
      <c r="C8" s="21">
        <f>75-SUM(E$2:E8)</f>
        <v>75</v>
      </c>
      <c r="D8" s="22">
        <f t="shared" si="0"/>
        <v>18.75</v>
      </c>
      <c r="E8" s="22">
        <v>0</v>
      </c>
    </row>
    <row r="9" spans="1:12" x14ac:dyDescent="0.3">
      <c r="A9" s="19">
        <v>7</v>
      </c>
      <c r="B9" s="20">
        <v>46260</v>
      </c>
      <c r="C9" s="21">
        <f>75-SUM(E$2:E9)</f>
        <v>75</v>
      </c>
      <c r="D9" s="22">
        <f t="shared" si="0"/>
        <v>9.375</v>
      </c>
      <c r="E9" s="22">
        <v>0</v>
      </c>
    </row>
    <row r="10" spans="1:12" x14ac:dyDescent="0.3">
      <c r="A10" s="19">
        <v>8</v>
      </c>
      <c r="B10" s="20">
        <v>46261</v>
      </c>
      <c r="C10" s="21">
        <f>75-SUM(E$2:E10)</f>
        <v>75</v>
      </c>
      <c r="D10" s="22">
        <f t="shared" si="0"/>
        <v>0</v>
      </c>
      <c r="E10" s="22">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2026-08-28T08:55:12Z</dcterms:modified>
</cp:coreProperties>
</file>