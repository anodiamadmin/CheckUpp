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Hub\CheckUpp\Business Analysis\"/>
    </mc:Choice>
  </mc:AlternateContent>
  <xr:revisionPtr revIDLastSave="0" documentId="13_ncr:1_{9841AB54-7BFF-463E-BFAA-CC799CFC4226}"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4" i="5" a="1"/>
  <c r="I4" i="5" s="1"/>
  <c r="I5" i="5" a="1"/>
  <c r="I5" i="5" s="1"/>
  <c r="I17" i="5" a="1"/>
  <c r="I17" i="5" s="1"/>
  <c r="I16" i="5" a="1"/>
  <c r="I16" i="5" s="1"/>
  <c r="I15" i="5" a="1"/>
  <c r="I15" i="5" s="1"/>
  <c r="I13" i="5" a="1"/>
  <c r="I13" i="5" s="1"/>
  <c r="I14" i="5" a="1"/>
  <c r="I14" i="5" s="1"/>
  <c r="I12" i="5" a="1"/>
  <c r="I12" i="5" s="1"/>
  <c r="I11" i="5" a="1"/>
  <c r="I11" i="5" s="1"/>
  <c r="I10" i="5" a="1"/>
  <c r="I10" i="5" s="1"/>
  <c r="I3" i="5" a="1"/>
  <c r="I3" i="5" s="1"/>
  <c r="I6" i="5" a="1"/>
  <c r="I6" i="5" s="1"/>
  <c r="I7" i="5" a="1"/>
  <c r="I7" i="5" s="1"/>
  <c r="I8" i="5" a="1"/>
  <c r="I8" i="5" s="1"/>
  <c r="I9" i="5" a="1"/>
  <c r="I9" i="5" s="1"/>
  <c r="I111" i="5" a="1"/>
  <c r="I111" i="5" s="1"/>
  <c r="I110" i="5" a="1"/>
  <c r="I110" i="5" s="1"/>
  <c r="I109" i="5" a="1"/>
  <c r="I109" i="5" s="1"/>
  <c r="I108" i="5" a="1"/>
  <c r="I108" i="5" s="1"/>
  <c r="I107" i="5" a="1"/>
  <c r="I107" i="5" s="1"/>
  <c r="I106" i="5" a="1"/>
  <c r="I106" i="5" s="1"/>
  <c r="I105" i="5" a="1"/>
  <c r="I105" i="5" s="1"/>
  <c r="I104" i="5" a="1"/>
  <c r="I104" i="5" s="1"/>
  <c r="I103" i="5" a="1"/>
  <c r="I103" i="5" s="1"/>
  <c r="I102" i="5" a="1"/>
  <c r="I102" i="5" s="1"/>
  <c r="I101" i="5" a="1"/>
  <c r="I101" i="5" s="1"/>
  <c r="I100" i="5" a="1"/>
  <c r="I100" i="5" s="1"/>
  <c r="I99" i="5" a="1"/>
  <c r="I99" i="5" s="1"/>
  <c r="I98" i="5" a="1"/>
  <c r="I98" i="5" s="1"/>
  <c r="I97" i="5" a="1"/>
  <c r="I97" i="5" s="1"/>
  <c r="I96" i="5" a="1"/>
  <c r="I96" i="5" s="1"/>
  <c r="I95" i="5" a="1"/>
  <c r="I95" i="5" s="1"/>
  <c r="I94" i="5" a="1"/>
  <c r="I94" i="5" s="1"/>
  <c r="I93" i="5" a="1"/>
  <c r="I93" i="5" s="1"/>
  <c r="I92" i="5" a="1"/>
  <c r="I92" i="5" s="1"/>
  <c r="I91" i="5" a="1"/>
  <c r="I91" i="5" s="1"/>
  <c r="I90" i="5" a="1"/>
  <c r="I90" i="5" s="1"/>
  <c r="I89" i="5" a="1"/>
  <c r="I89" i="5" s="1"/>
  <c r="I88" i="5" a="1"/>
  <c r="I88" i="5" s="1"/>
  <c r="I87" i="5" a="1"/>
  <c r="I87" i="5" s="1"/>
  <c r="I86" i="5" a="1"/>
  <c r="I86" i="5" s="1"/>
  <c r="I85" i="5" a="1"/>
  <c r="I85" i="5" s="1"/>
  <c r="I84" i="5" a="1"/>
  <c r="I84" i="5" s="1"/>
  <c r="I83" i="5" a="1"/>
  <c r="I83" i="5" s="1"/>
  <c r="I82" i="5" a="1"/>
  <c r="I82" i="5" s="1"/>
  <c r="I81" i="5" a="1"/>
  <c r="I81" i="5" s="1"/>
  <c r="I80" i="5" a="1"/>
  <c r="I80" i="5" s="1"/>
  <c r="I79" i="5" a="1"/>
  <c r="I79" i="5" s="1"/>
  <c r="I78" i="5" a="1"/>
  <c r="I78" i="5" s="1"/>
  <c r="I77" i="5" a="1"/>
  <c r="I77" i="5" s="1"/>
  <c r="I76" i="5" a="1"/>
  <c r="I76" i="5" s="1"/>
  <c r="I75" i="5" a="1"/>
  <c r="I75" i="5" s="1"/>
  <c r="I74" i="5" a="1"/>
  <c r="I74" i="5" s="1"/>
  <c r="I73" i="5" a="1"/>
  <c r="I73" i="5" s="1"/>
  <c r="I72" i="5" a="1"/>
  <c r="I72" i="5" s="1"/>
  <c r="I71" i="5" a="1"/>
  <c r="I71" i="5" s="1"/>
  <c r="I70" i="5" a="1"/>
  <c r="I70" i="5" s="1"/>
  <c r="I69" i="5" a="1"/>
  <c r="I69" i="5" s="1"/>
  <c r="I68" i="5" a="1"/>
  <c r="I68" i="5" s="1"/>
  <c r="I67" i="5" a="1"/>
  <c r="I67" i="5" s="1"/>
  <c r="I66" i="5" a="1"/>
  <c r="I66" i="5" s="1"/>
  <c r="I65" i="5" a="1"/>
  <c r="I65" i="5" s="1"/>
  <c r="I64" i="5" a="1"/>
  <c r="I64" i="5" s="1"/>
  <c r="I63" i="5" a="1"/>
  <c r="I63" i="5" s="1"/>
  <c r="I62" i="5" a="1"/>
  <c r="I62" i="5" s="1"/>
  <c r="I61" i="5" a="1"/>
  <c r="I61" i="5" s="1"/>
  <c r="I60" i="5" a="1"/>
  <c r="I60" i="5" s="1"/>
  <c r="I59" i="5" a="1"/>
  <c r="I59" i="5" s="1"/>
  <c r="I58" i="5" a="1"/>
  <c r="I58" i="5" s="1"/>
  <c r="I57" i="5" a="1"/>
  <c r="I57" i="5" s="1"/>
  <c r="I56" i="5" a="1"/>
  <c r="I56" i="5" s="1"/>
  <c r="I55" i="5" a="1"/>
  <c r="I55" i="5" s="1"/>
  <c r="I54" i="5" a="1"/>
  <c r="I54" i="5" s="1"/>
  <c r="I53" i="5" a="1"/>
  <c r="I53" i="5" s="1"/>
  <c r="I52" i="5" a="1"/>
  <c r="I52" i="5" s="1"/>
  <c r="I51" i="5" a="1"/>
  <c r="I51" i="5" s="1"/>
  <c r="I50" i="5" a="1"/>
  <c r="I50" i="5" s="1"/>
  <c r="I49" i="5" a="1"/>
  <c r="I49" i="5" s="1"/>
  <c r="I48" i="5" a="1"/>
  <c r="I48" i="5" s="1"/>
  <c r="I47" i="5" a="1"/>
  <c r="I47" i="5" s="1"/>
  <c r="I46" i="5" a="1"/>
  <c r="I46" i="5" s="1"/>
  <c r="I45" i="5" a="1"/>
  <c r="I45" i="5" s="1"/>
  <c r="I44" i="5" a="1"/>
  <c r="I44" i="5" s="1"/>
  <c r="I43" i="5" a="1"/>
  <c r="I43" i="5" s="1"/>
  <c r="I42" i="5" a="1"/>
  <c r="I42" i="5" s="1"/>
  <c r="I41" i="5" a="1"/>
  <c r="I41" i="5" s="1"/>
  <c r="I40" i="5" a="1"/>
  <c r="I40" i="5" s="1"/>
  <c r="I39" i="5" a="1"/>
  <c r="I39" i="5" s="1"/>
  <c r="I38" i="5" a="1"/>
  <c r="I38" i="5" s="1"/>
  <c r="I37" i="5" a="1"/>
  <c r="I37" i="5" s="1"/>
  <c r="I36" i="5" a="1"/>
  <c r="I36" i="5" s="1"/>
  <c r="I35" i="5" a="1"/>
  <c r="I35" i="5" s="1"/>
  <c r="I34" i="5" a="1"/>
  <c r="I34" i="5" s="1"/>
  <c r="I33" i="5" a="1"/>
  <c r="I33" i="5" s="1"/>
  <c r="I32" i="5" a="1"/>
  <c r="I32" i="5" s="1"/>
  <c r="I31" i="5" a="1"/>
  <c r="I31" i="5" s="1"/>
  <c r="I30" i="5" a="1"/>
  <c r="I30" i="5" s="1"/>
  <c r="I29" i="5" a="1"/>
  <c r="I29" i="5" s="1"/>
  <c r="I28" i="5" a="1"/>
  <c r="I28" i="5" s="1"/>
  <c r="I27" i="5" a="1"/>
  <c r="I27" i="5" s="1"/>
  <c r="I26" i="5" a="1"/>
  <c r="I26" i="5" s="1"/>
  <c r="I25" i="5" a="1"/>
  <c r="I25"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<sst xmlns="http://schemas.openxmlformats.org/spreadsheetml/2006/main" count="317" uniqueCount="120">
  <si>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</si>
  <si>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</si>
  <si>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</si>
  <si>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</si>
  <si>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</si>
  <si>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</si>
  <si>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</si>
  <si>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</si>
  <si>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</si>
  <si>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</si>
  <si>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</si>
  <si>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</si>
  <si>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</si>
  <si>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</si>
  <si>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</si>
  <si>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</si>
  <si>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</si>
  <si>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</si>
  <si>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</si>
  <si>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</si>
  <si>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</si>
  <si>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</si>
  <si>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</si>
  <si>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</si>
  <si>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</si>
  <si>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</si>
  <si>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</si>
  <si>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</si>
  <si>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</si>
  <si>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</si>
  <si>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</si>
  <si>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</si>
  <si>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</si>
  <si>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</si>
  <si>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</si>
  <si>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</si>
  <si>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</si>
  <si>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</si>
  <si>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</si>
  <si>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</si>
  <si>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</si>
  <si>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</si>
  <si>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</si>
  <si>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</si>
  <si>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</si>
  <si>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</si>
  <si>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</si>
  <si>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</si>
  <si>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</si>
  <si>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</si>
  <si>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</si>
  <si>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</si>
  <si>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</si>
  <si>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</si>
  <si>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</si>
  <si>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</si>
  <si>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</si>
  <si>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</si>
  <si>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</si>
  <si>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</si>
  <si>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</si>
  <si>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</si>
  <si>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</si>
  <si>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</si>
  <si>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</si>
  <si>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</si>
  <si>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</si>
  <si>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</si>
  <si>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</si>
  <si>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</si>
  <si>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</si>
  <si>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</si>
  <si>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</si>
  <si>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</si>
  <si>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</si>
  <si>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</si>
  <si>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ToDo</t>
  </si>
  <si>
    <t>Cardiovascular Reading</t>
  </si>
  <si>
    <t>Cardiovascular Camera Scanner UI &amp; Permission Handling</t>
  </si>
  <si>
    <t>Cardiovascular Camera Scanner UI &amp; Permission Handling
* **Target Files**:
* `checkupp-mobile-main/app/(tabs)/cardiovascular.tsx`
* `checkupp-mobile-main/components/camera/ScanMonitorModal.tsx`
* **Description**:
1. Add a "Scan Monitor" icon/button next to the manual input fields for Blood Pressure on the Cardiovascular screen.
2. Implement `ScanMonitorModal.tsx` using `react-native-vision-camera` (or `expo-camera`).
3. Include native camera permission checks with graceful permission fallback prompts.
4. Design a full-screen camera modal with a centered "Target Bounding Box" overlay instructing the user to "Align your screen's numbers inside this box."
5. Include a prominent manual "Cancel / Enter Manually" button to allow users to exit the camera view at any time.
6. Cap camera frame processing at 15–30 fps via frame processor configuration to optimize device battery consumption and prevent thermal throttling.
* **Acceptance Criteria Covered**: US 19.3 (AC 1, 2, 3, 4, 7)</t>
  </si>
  <si>
    <t>OCR Processing, Frame Processor &amp; Form Auto-Fill</t>
  </si>
  <si>
    <t>Diabetes Test</t>
  </si>
  <si>
    <t>Single-Number OCR, Contextual Selection &amp; Auto-Fill</t>
  </si>
  <si>
    <t>Glucometer ML Kit Scanning &amp; Contextual Reading Modal
* **Target Files**:
* `checkupp-mobile-main/app/(tabs)/diabetes.tsx`
* `checkupp-mobile-main/components/camera/GlucometerScannerModal.tsx`
* `checkupp-mobile-main/components/ReadingTypeBottomSheet.tsx`
* **Description**:
1. Place a "Scan Glucometer" button prominently at the top of the Blood Glucose section in the Diabetes form.
2. Implement a focused scanner modal targeting single numbers (including decimals, e.g., 5.6 or 12.1) using regular expression matching.
3. Upon capturing the valid glucose value, display `ReadingTypeBottomSheet.tsx` asking: `"What type of reading is this?"` with options:
* Fasting Glucose
* Random Glucose
* Post-Meal Glucose
4. Inject the scanned number specifically into the selected option's field and close the bottom sheet.
5. Enforce human-in-the-loop confirmation where the user must manually tap "Save Reading" to commit to the backend.
6. Add the 10-second scanner timeout alert with manual fallback options.
* **Acceptance Criteria Covered**: US 20.3 - Glucometer (AC 1, 2, 3, 4, 5, 6, 7)</t>
  </si>
  <si>
    <t>Contrast Pre-Processing, Regex Extraction &amp; Auto-Fill</t>
  </si>
  <si>
    <t>Digital Weight Scale Camera Scanner with Image Pre-Processing
* **Target Files**:
* `checkupp-mobile-main/app/(tabs)/diabetes.tsx`
* `checkupp-mobile-main/components/camera/ScaleScannerModal.tsx`
* `checkupp-mobile-main/lib/utils/imageUtils.ts`
* **Description**:
1. Add a "Scan Scale" icon next to the Weight input field on the Diabetes form (and reusable shared modules).
2. Implement `imageUtils.ts` threshold/contrast filter pre-processing on the captured camera frame to isolate glowing LCD digits from reflective or backlit scale surfaces before passing to ML Kit.
3. Extract a 2-to-3 digit number (with or without a single decimal, e.g., 75.4 or 98) using Regex matching.
4. Auto-fill the extracted value directly into the **Weight (kg)** field without triggering secondary contextual modals.
5. Implement the 10-second timeout fallback alert ("Having trouble reading the screen...").
* **Acceptance Criteria Covered**: US 20.3 - Weight Scale (AC 1, 2, 3, 4, 5)</t>
  </si>
  <si>
    <t>Global Backend &amp; Validation Tasks</t>
  </si>
  <si>
    <t>Controller, Validation &amp; Database Schema</t>
  </si>
  <si>
    <t>Vitals &amp; Diabetes Measurement Ingestion Verification
* **Target Files**:
* `checkupp-api-main/src/modules/vitals/vitals.controller.ts`
* `checkupp-api-main/src/modules/vitals/vitals.validation.ts`
* `checkupp-api-main/tests/modules/vitals/vitals.test.ts`
* **Description**:
1. Ensure `vitals.validation.ts` accommodates auto-filled decimal and integer values strictly matching physiological sanity bounds (e.g., Systolic 50–250 mmHg, Weight 20–300 kg, Glucose 1–35 mmol/L or 20–600 mg/dL).
2. Write unit and integration tests verifying that incoming payloads from both manual entry and camera-scanned flows validate identically and save correctly to user history.
* **Acceptance Criteria Covered**: Cross-epic data integrity for US 19.3 &amp; US 20.3</t>
  </si>
  <si>
    <t>Alekhya &amp; Atish</t>
  </si>
  <si>
    <t>Blood Pressure ML Kit Extraction, Y-Coordinate Sorting &amp; Validation
* **Target Files**:
* `checkupp-mobile-main/lib/utils/ocrUtils.ts`
* `checkupp-mobile-main/components/camera/ScanMonitorModal.tsx`
* `checkupp-mobile-main/app/(tabs)/cardiovascular.tsx`
* **Description**:
1. Integrate Google ML Kit Text Recognition into the camera frame processor to extract numerical text strings dynamically.
2. Implement vertical Y-coordinate sorting in `ocrUtils.ts`:
* Highest Y-coordinate -&gt; Auto-fills **Systolic (mmHg)**
* Middle Y-coordinate -&gt; Auto-fills **Diastolic (mmHg)**
* Lowest Y-coordinate -&gt; Auto-fills **Heart Rate (BPM)**
3. Close the camera modal upon successful extraction, populate the respective form fields, and display a Toast/Banner stating: `"Numbers scanned successfully. Please verify against your device."`
4. Implement a 10-second timeout scanner loop. If no valid match is found within 10 seconds, trigger a prompt: `"Having trouble reading the screen. Ensure there is no glare, or switch to manual entry."` with an easy button to exit.
* **Acceptance Criteria Covered**: US 19.3 (AC 5, 6, 8)</t>
  </si>
  <si>
    <t>Live-scan digital blood pressure monitor</t>
  </si>
  <si>
    <t>Implement Blood Pressure OCR Extraction and Y-Coordinate Mapping with Jest TDD
Target Files:
• checkupp-mobile-main/lib/scanner/bloodPressureScanner.js
• checkupp-mobile-main/__tests__/cardiovascular/scan-monitor-image.test.js
Description:
1. Reuse the existing Google ML Kit Text Recognition integration.
2. Extract three valid numeric values from the BP monitor OCR response.
3. Sort OCR candidates using their vertical bounding-box position and map them to Systolic, Diastolic and Heart Rate according to the agreed screen-coordinate convention.
4. Ignore unrelated values such as date, time, memory number and unit labels.
5. Ensure shuffled ML Kit OCR results produce the same final BP values.
6. Return null when one or more required readings cannot be reliably identified.
7. Add Jest tests for normal, shuffled, incomplete, irrelevant and malformed OCR results.
Acceptance Criteria Covered: US 19.3 – Extraction Logic (Y-Coordinate Sorting)</t>
  </si>
  <si>
    <t>Live-scan digital glucometer</t>
  </si>
  <si>
    <t>Implement Glucometer Single-Value OCR Extraction and Regex Validation with Jest TDD
Target Files:
• checkupp-mobile-main/lib/scanner/glucoseScanner.js
• checkupp-mobile-main/__tests__/diabetes/scan-glucometer-image.test.js
Description:
1. Reuse Google ML Kit Text Recognition to process the glucometer display.
2. Extract one glucose value using regex validation.
3. Support values such as 5, 5.6, 12 and 12.1.
4. Ignore unrelated date, time, memory and unit values.
5. Select the primary LCD value when multiple numeric OCR results are present.
6. Reject malformed values, multiple decimal points, negative values, alphabetic text and empty OCR results.
7. Add Jest tests covering normal, dark, glare, blur, multiple-number and invalid-value scenarios.
Acceptance Criteria Covered: US 20.3 – Extraction Logic (Regex) and scan accuracy</t>
  </si>
  <si>
    <t>Live-scan digital weighing scale</t>
  </si>
  <si>
    <t>Implement Digital Weighing Scale LCD OCR and Weight Validation with Jest TDD
Target Files:
• checkupp-mobile-main/lib/scanner/weightScanner.js
• checkupp-mobile-main/__tests__/diabetes/scan-digital-scale-image.test.js
Description:
1. Implement OCR-based scanning specifically for the supplied digital LCD weighing scale; do not implement analog needle detection.
2. Extract values such as 68, 68.7, 68.70, 98 and 98.40.
3. Support OCR values containing the kg suffix, such as 68.70 kg and 68.70kg.
4. Validate the extracted value before auto-fill using a regex such as ^\\d{2,3}(?:\\.\\d{1,2})?$.
5. Reject negative, alphabetic, malformed, multiple-decimal, impossible and four-digit values.
6. Use the supplied digital-scale image displaying 68.70 kg as the reference test scenario.
7. Add Jest tests for normal, dark, glare, blur, rotation, obstruction and malformed OCR cases.
Acceptance Criteria Covered: US 20.4 – Extraction Logic and Auto-Fill</t>
  </si>
  <si>
    <t>Shared Scanner</t>
  </si>
  <si>
    <t>Shared camera scanning</t>
  </si>
  <si>
    <t>Implement Shared Camera Performance, Permission and Timeout Handling with Jest TDD
Target Files:
• checkupp-mobile-main/lib/scanner/deviceScanner.js
• Existing camera component under checkupp-mobile-main/components/
• checkupp-mobile-main/__tests__/scanner/scanner-edge-cases.test.js
Description:
1. Reuse the existing native camera permission implementation.
2. Handle already-granted, requested, denied and revoked camera permissions gracefully.
3. Limit ML Kit frame processing to 15–30 FPS instead of processing every camera frame.
4. Start a 10-second timeout whenever a scanner opens.
5. Cancel the timeout after successful detection, cancellation or scanner closure.
6. Display the exact timeout message: "Having trouble reading the screen. Ensure there is no glare, or switch to manual entry."
7. Provide an easy exit/manual-entry action after timeout.
8. Add Jest fake-timer and mocked-permission tests.
Acceptance Criteria Covered: US 19.3 – Permissions, Performance, Timeout; US 20.3 – Timeout; US 20.4 – Timeout</t>
  </si>
  <si>
    <t>Implement Image Quality, Bounding-Box Filtering and Multi-Frame Stability with Jest TDD
Target Files:
• checkupp-mobile-main/lib/scanner/bloodPressureScanner.js
• checkupp-mobile-main/lib/scanner/glucoseScanner.js
• checkupp-mobile-main/lib/scanner/weightScanner.js
• checkupp-mobile-main/__tests__/cardiovascular/scan-monitor-image.test.js
• checkupp-mobile-main/__tests__/diabetes/scan-glucometer-image.test.js
• checkupp-mobile-main/__tests__/diabetes/scan-digital-scale-image.test.js
Description:
1. Filter OCR results so only values inside the appropriate target bounding box are considered.
2. Ignore numbers outside the target region and unrelated OCR text.
3. Handle rotated OCR coordinates after normalization.
4. Reject unreadable values caused by severe glare, blur or obstruction when confidence is insufficient.
5. Implement multi-frame stability so a measurement must remain consistent before auto-fill.
6. Treat equivalent weight formats such as 68.7 and 68.70 as the same numeric value.
7. Reject fluctuating OCR results and insufficient frames.
8. Ensure failed or uncertain scans never overwrite manually entered values.
9. Add Jest tests for lighting, glare, blur, rotation, obstruction, target-box failures, unstable readings and false-positive protection.
Acceptance Criteria Covered: US 19.3 – Extraction Reliability; US 20.3 – Scan Reliability; US 20.4 – Lighting/Contrast and Extraction Reliability</t>
  </si>
  <si>
    <t>Shared measurement reliability</t>
  </si>
  <si>
    <t>6.1, 6.3, 7.1, 7.4</t>
  </si>
  <si>
    <t>6.1, 6.3, 7.4</t>
  </si>
  <si>
    <t>6.2, 6.3, 6.4, 6.5, 6.6, 7.2, 7.3, 7.4, 7.5</t>
  </si>
  <si>
    <t>6.3, 6.6, 7.5</t>
  </si>
  <si>
    <r>
      <t xml:space="preserve">Refactor FileCard component to implement 3-Dot (Kebab) Action Menu &amp; Share Button
</t>
    </r>
    <r>
      <rPr>
        <sz val="11"/>
        <color theme="1"/>
        <rFont val="Calibri"/>
        <family val="2"/>
        <scheme val="minor"/>
      </rPr>
      <t>Target Files:Modify: checkupp-mobile/app/(tabs)/wallet.tsx (Inside the FileCard declaration)  
Ambiguity-Free Technical Specification:
Refactor the FileCard component. The outermost wrapper must be a View (not TouchableOpacity) to prevent touch-target conflicts.
In the "Actions" flex row, render a prominent primary TouchableOpacity for "Share" (e.g., green styling).Render a secondary TouchableOpacity for the kebab menu (MaterialCommunityIcons name="dots-vertical").
Implement handleMoreOptions using React Native's Alert.alert. If item.fileType === 'link', show options: [Open, Delete, Cancel]. If it is a document/image, show: [View, Download, Delete, Cancel]. Wire these to the respective prop callbacks (onView, onDelete, onDownload).</t>
    </r>
  </si>
  <si>
    <t>Document Wallet</t>
  </si>
  <si>
    <t>6.2, 7.3</t>
  </si>
  <si>
    <r>
      <t xml:space="preserve">Implement secure local download &amp; save to device logic
</t>
    </r>
    <r>
      <rPr>
        <sz val="11"/>
        <color theme="1"/>
        <rFont val="Calibri"/>
        <family val="2"/>
        <scheme val="minor"/>
      </rPr>
      <t>Target Files:Create: checkupp-mobile/hooks/useDocumentDownload.ts
Ambiguity-Free Technical Specification:
Create a hook returning { downloadItem, isDownloading }.
Utilize FileSystem.downloadAsync to pull the file to FileSystem.documentDirectory (iOS) or a public folder via Android intents.For images, leverage expo-media-library to save directly to the camera roll (MediaLibrary.saveToLibraryAsync).  Fire success toasts ("Download complete") or error toasts ("Download failed, please try again").</t>
    </r>
  </si>
  <si>
    <t>6.4, 7.2, 7.4</t>
  </si>
  <si>
    <t>19.3,  20.3,  20.4</t>
  </si>
  <si>
    <t>19.3, 20.3, 20.4</t>
  </si>
  <si>
    <r>
      <t xml:space="preserve">TDD - </t>
    </r>
    <r>
      <rPr>
        <b/>
        <sz val="11"/>
        <color theme="1"/>
        <rFont val="Calibri"/>
        <family val="2"/>
        <scheme val="minor"/>
      </rPr>
      <t>Automated Jest test suite for Firebase Storage upload/delete &amp; Link creation</t>
    </r>
    <r>
      <rPr>
        <sz val="11"/>
        <color theme="1"/>
        <rFont val="Calibri"/>
        <family val="2"/>
        <scheme val="minor"/>
      </rPr>
      <t xml:space="preserve">
Target Files:Create: checkupp-api/tests/modules/wallet/wallet.test.ts
Ambiguity-Free Technical Specification:
Initialize a Jest test suite using supertest against the Express app. Mock the Firebase Admin Storage bucket module and ensure the mocked bucket targets an Australian region configuration (australia-southeast1).
Test Case 1 (US 6.1): Mock a file buffer upload to PUT /me/wallet/uploads/pending. Assert that the mocked Firebase bucket upload function is called and a 201 response is returned with the cloud URL.
Test Case 2 (US 7.1): POST to /me/wallet/links with a valid e-script URL. Assert a 201 response and verify the database record contains fileType: LINK and the proper external URL 
Test Case 3 (US 6.3, 7.4): DELETE /me/wallet/documents/:id. Assert that the database record is removed and an immutable AuditLog entry is written. For physical documents, assert that the mocked Firebase bucket delete method is invoked.</t>
    </r>
  </si>
  <si>
    <r>
      <t xml:space="preserve">TDD - </t>
    </r>
    <r>
      <rPr>
        <b/>
        <sz val="11"/>
        <color theme="1"/>
        <rFont val="Calibri"/>
        <family val="2"/>
        <scheme val="minor"/>
      </rPr>
      <t>Automated Jest test suite for 3-Dot Menu, Native Sharing &amp; Local Downloads</t>
    </r>
    <r>
      <rPr>
        <sz val="11"/>
        <color theme="1"/>
        <rFont val="Calibri"/>
        <family val="2"/>
        <scheme val="minor"/>
      </rPr>
      <t xml:space="preserve">
Target Files:Create: checkupp-mobile/tests/wallet/walletCardInteractions.test.js
Ambiguity-Free Technical Specification:
Setup tests using @testing-library/react-native. Mock expo-file-system, expo-sharing, and React Native's Share and Alert modules.  
Test Case 1 (US 6.6, 7.5): Render the FileCard component. Assert the explicit "View" and "Delete" buttons are absent, and the "Share" icon + "3-dot" icon are present.
Test Case 2 (US 6.3, 7.4): Simulate press on the 3-dot menu. Assert Alert.alert (or ActionSheet) is called with "View/Open", "Download" (only for documents, not links/e-scipts), "Delete", and "Cancel".
Test Case 3 (US 6.2, 7.3): Simulate press on the "Share" button for a document. Assert FileSystem.downloadAsync is called, followed by Sharing.shareAsync. For an e-script, assert Share.share is called with the URL.</t>
    </r>
  </si>
  <si>
    <r>
      <t xml:space="preserve">Refactor wallet.service.ts to stream uploads to Australian Firebase Storage bucket with Audit Logging
</t>
    </r>
    <r>
      <rPr>
        <sz val="11"/>
        <color theme="1"/>
        <rFont val="Calibri"/>
        <family val="2"/>
        <scheme val="minor"/>
      </rPr>
      <t>Target Files:Modify: checkupp-api/src/modules/wallet/wallet.service.ts
Ambiguity-Free Technical Specification:
Remove Local Disk Storage: Remove the local fs.writeFile and fs.unlink implementation inside uploadPendingFile and cleanupUploadedFile.
 Firebase Storage Initialization: Initialize firebase-admin/storage pointing explicitly to the Australian storage bucket region (e.g., process.env.FIREBASE_STORAGE_BUCKET initialized in australia-southeast1).
Upload Logic (US 6.1): In uploadPendingFile, stream the incoming fileBuffer directly into the Firebase Storage bucket with the correct mimeType and AES-256 encryption at rest. Return the secure public cloud URL.
Delete Logic (US 6.3, 7.4): In cleanupUploadedFile, call bucket.file(objectKey).delete() to physically wipe the file from the cloud bucket when the database record is deleted. Catch and suppress 404 errors if the file is already missing.
Audit Middleware Compliance: Ensure all uploads and deletions continue to pass through the controller-level tryCreateAuditLog wrapper to maintain immutable tracking.</t>
    </r>
  </si>
  <si>
    <r>
      <rPr>
        <b/>
        <sz val="11"/>
        <color theme="1"/>
        <rFont val="Calibri"/>
        <family val="2"/>
        <scheme val="minor"/>
      </rPr>
      <t>Implement useDocumentShare Hook for cross-platform native app sharing</t>
    </r>
    <r>
      <rPr>
        <sz val="11"/>
        <color theme="1"/>
        <rFont val="Calibri"/>
        <family val="2"/>
        <scheme val="minor"/>
      </rPr>
      <t xml:space="preserve">
Target Files:
Create: checkupp-mobile/hooks/useDocumentShare.ts
Ambiguity-Free Technical Specification:
Create a custom React hook returning { shareItem, isSharing }.
e-Script/Link Logic (US 7.3): If item.fileType === "link", immediately invoke React Native's Share.share({ message: ... ${item.file}, url: item.file }).
Document Logic (US 6.2): If item.fileType is image/file, invoke expo-file-system downloadAsync to temporarily cache the remote cloud URL locally to FileSystem.cacheDirectory. Pass the local URI to Sharing.shareAsync().
Implement error handling with a toast notification: showToast("Something went wrong, please try again", "error").</t>
    </r>
  </si>
  <si>
    <r>
      <rPr>
        <b/>
        <sz val="11"/>
        <color theme="1"/>
        <rFont val="Calibri"/>
        <family val="2"/>
        <scheme val="minor"/>
      </rPr>
      <t>Integrate Viewer Modals, Browser linking, and Delete Confirmation flows</t>
    </r>
    <r>
      <rPr>
        <sz val="11"/>
        <color theme="1"/>
        <rFont val="Calibri"/>
        <family val="2"/>
        <scheme val="minor"/>
      </rPr>
      <t xml:space="preserve">
Target Files: Modify: checkupp-mobile/app/(tabs)/wallet.tsx
Ambiguity-Free Technical Specification:
Wire the onView callback from the 3-dot menu. If the item is an image, set state to open the existing ImageViewer. If it is a PDF/Document, open the DocumentViewer. If it is an e-script link, invoke WebBrowser.openBrowserAsync().
Wire the onDelete callback. It must trigger Alert.alert("Are you sure you want to delete this file?") before calling deleteDocument.mutateAsync(id).
Ensure the UI updates to deleted card or triggers a refetch upon successful deletion.</t>
    </r>
  </si>
  <si>
    <r>
      <t>Frontend TDD Suite: UI, Sharing &amp; Caching</t>
    </r>
    <r>
      <rPr>
        <sz val="11"/>
        <color theme="1"/>
        <rFont val="Calibri"/>
        <family val="2"/>
        <scheme val="minor"/>
      </rPr>
      <t xml:space="preserve">
US 6.6 &amp; 7.5: Decluttered Card Layout (checkupp-mobile/tests/DocumentWallet/FileCard.test.tsx)
Success: Render the FileCard component. Assert that explicit standalone "View", "Download", and "Delete" text/buttons are completely absent from the DOM.
Success: Assert that the primary "Share" icon and the secondary "3-dot" kebab menu icon are rendered correctly on the card.
US 6.3, 6.5 &amp; 7.4: 3-Dot Action Menu (Alert/ActionSheet) (checkupp-mobile/tests/DocumentWallet/FileCard.test.tsx)
Success (Document): Simulate a press on the 3-dot menu for a document payload. Assert Alert.alert triggers with exactly four options: "View", "Download", "Delete", and "Cancel".
Success (Link): Simulate a press on the 3-dot menu for an e-script payload. Assert Alert.alert triggers with exactly three options: "Open", "Delete", and "Cancel".
Edge Case (Delete Cancellation): Trigger the "Delete" option, then press "Cancel" on the subsequent confirmation prompt. Assert the deleteDocument mutation is never fired.
US 6.2 &amp; 7.3: Cross-Platform Native Sharing (checkupp-mobile/tests/hooks/useDocumentShare.test.ts)
Success (Link): Simulate a press on the "Share" button for an e-script. Assert React Native's Share.share is invoked immediately with the text/URL payload.
Success (Document): Simulate a press on the "Share" button for a document. Assert a loading spinner renders. Assert FileSystem.downloadAsync is called with the remote Firebase URL. Assert Sharing.shareAsync is subsequently called with the resulting local URI.
Edge Case (Unsupported Device): Force the mocked Sharing.isAvailableAsync() to return false. Assert a Toast is displayed notifying the user that sharing is unavailable.
US 6.5: Download Document (checkupp-mobile/tests/hooks/useDocumentDownload.test.ts)
Success: Verify that pressing the Download button invokes FileSystem.downloadAsync to permanently save the file to local device storage.
Edge Case (Network Drop): Simulate a failure during FileSystem.downloadAsync. Assert the loading spinner reverts to the share icon and the "Something went wrong, please try again" error toast fires.
US 6.4 &amp; 7.2: Viewer Integrations (checkupp-mobile/tests/DocumentWallet/FileCard.test.tsx)
Success (Image): Simulate selecting "View" on an image document. Assert the ImageViewer modal becomes visible.
Success (PDF): Simulate selecting "View" on a PDF document. Assert the DocumentViewer modal becomes visible.
Success (Link): Simulate selecting "Open" on an e-script link. Assert WebBrowser.openBrowserAsync is called with the specific URL.</t>
    </r>
  </si>
  <si>
    <r>
      <t xml:space="preserve">Backend TDD Suite: Firebase Storage &amp; Links
</t>
    </r>
    <r>
      <rPr>
        <sz val="11"/>
        <color theme="1"/>
        <rFont val="Calibri"/>
        <family val="2"/>
        <scheme val="minor"/>
      </rPr>
      <t>Setup &amp; Teardown: (checkupp-api/tests/modules/wallet/wallet.test.ts)
Initialize the Jest test suite using supertest against the Express server.
Mock the firebase-admin/storage module to intercept bucket uploads and deletes.
Implement ruthless beforeEach and afterAll database purges to guarantee deterministic test runs.
US 6.1: Document Upload (Firebase Stream)
Success: Send a valid file buffer payload to POST /me/wallet/documents. Assert a 201 Created response. Assert the mocked Firebase bucket upload function is invoked and the database record correctly saves the fileType: FILE and public cloud URL.  
Edge Case (Missing Fields): Send a payload missing documentType. Assert the Joi gateway validation blocks it and returns a 400 Bad Request.  
Edge Case (Cloud Failure): Force the mocked Firebase upload to throw an error. Assert the API returns a graceful 500 without creating an orphaned database record.
US 7.1: e-Script Link Creation
Success: POST /me/wallet/links with a valid URL and title. Assert a 201 Created response and verify the database record saves fileType: LINK.  
Edge Case (Whitespace Validation): Send a URL containing only blank spaces. Assert Joi's .trim().min(1) intercepts the request and throws a 400 Bad Request.  
US 6.3 &amp; 7.4: Deletion &amp; Tenant Isolation
Success (Document): DELETE /me/wallet/documents/:id. Assert a 200 OK response. Assert the mocked Firebase bucket delete() method is called and the database record is removed.
Success (Link): DELETE /me/wallet/documents/:id (targeting a link). Assert the database record is removed but the Firebase bucket delete() method is not called.
Edge Case (Tenant Isolation): Attempt to delete a document ID using a different user's mocked JWT token. Assert a 404 Not Found to guarantee multi-tenant security scoping.
Audit Logging (All Modifications)
Success: Following a successful creation or deletion, query the test database to assert an immutable AuditLog row was created with the correct actorId, action, and timestamp.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</si>
</sst>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0" tint="-0.249977111117893"/>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2">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3" fillId="5" borderId="1" xfId="0" applyFont="1"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75</c:v>
                </c:pt>
                <c:pt idx="1">
                  <c:v>75</c:v>
                </c:pt>
                <c:pt idx="2">
                  <c:v>75</c:v>
                </c:pt>
                <c:pt idx="3">
                  <c:v>75</c:v>
                </c:pt>
                <c:pt idx="4">
                  <c:v>75</c:v>
                </c:pt>
                <c:pt idx="5">
                  <c:v>75</c:v>
                </c:pt>
                <c:pt idx="6">
                  <c:v>75</c:v>
                </c:pt>
                <c:pt idx="7">
                  <c:v>75</c:v>
                </c:pt>
                <c:pt idx="8">
                  <c:v>75</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75</c:v>
                </c:pt>
                <c:pt idx="1">
                  <c:v>65.625</c:v>
                </c:pt>
                <c:pt idx="2">
                  <c:v>56.25</c:v>
                </c:pt>
                <c:pt idx="3">
                  <c:v>46.875</c:v>
                </c:pt>
                <c:pt idx="4">
                  <c:v>37.5</c:v>
                </c:pt>
                <c:pt idx="5">
                  <c:v>28.125</c:v>
                </c:pt>
                <c:pt idx="6">
                  <c:v>18.75</c:v>
                </c:pt>
                <c:pt idx="7">
                  <c:v>9.375</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1"/>
  <sheetViews>
    <sheetView tabSelected="1" topLeftCell="A6" workbookViewId="0">
      <selection activeCell="D7" sqref="D7"/>
    </sheetView>
  </sheetViews>
  <sheetFormatPr defaultRowHeight="14.4" x14ac:dyDescent="0.3"/>
  <cols>
    <col min="1" max="1" width="6.88671875" bestFit="1" customWidth="1"/>
    <col min="2" max="2" width="13.109375" bestFit="1" customWidth="1"/>
    <col min="3" max="3" width="7.44140625" bestFit="1" customWidth="1"/>
    <col min="4" max="4" width="11.109375" customWidth="1"/>
    <col min="5" max="5" width="8.33203125" bestFit="1" customWidth="1"/>
    <col min="6" max="6" width="99.441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172.8" x14ac:dyDescent="0.3">
      <c r="A2" s="15">
        <v>1</v>
      </c>
      <c r="B2" s="15" t="s">
        <v>107</v>
      </c>
      <c r="C2" s="15" t="s">
        <v>102</v>
      </c>
      <c r="D2" s="15"/>
      <c r="E2" s="15" t="s">
        <v>31</v>
      </c>
      <c r="F2" s="16" t="s">
        <v>113</v>
      </c>
      <c r="G2" s="15" t="s">
        <v>29</v>
      </c>
      <c r="H2" s="15" t="s">
        <v>27</v>
      </c>
      <c r="I2" s="15">
        <f t="array" ref="I2">_xlfn.SWITCH(H2,"XS",1,"S",2,"M",3,"L",5,"XL",8,"XXL",13,"XXXL",21,"")</f>
        <v>3</v>
      </c>
      <c r="J2" s="15" t="s">
        <v>76</v>
      </c>
      <c r="K2" s="15"/>
      <c r="L2" s="15"/>
    </row>
    <row r="3" spans="1:12" ht="158.4" x14ac:dyDescent="0.3">
      <c r="A3" s="15">
        <v>2</v>
      </c>
      <c r="B3" s="15" t="s">
        <v>107</v>
      </c>
      <c r="C3" s="15" t="s">
        <v>104</v>
      </c>
      <c r="D3" s="15"/>
      <c r="E3" s="15" t="s">
        <v>31</v>
      </c>
      <c r="F3" s="16" t="s">
        <v>114</v>
      </c>
      <c r="G3" s="15" t="s">
        <v>29</v>
      </c>
      <c r="H3" s="15" t="s">
        <v>27</v>
      </c>
      <c r="I3" s="15">
        <f t="array" ref="I3">_xlfn.SWITCH(H3,"XS",1,"S",2,"M",3,"L",5,"XL",8,"XXL",13,"XXXL",21,"")</f>
        <v>3</v>
      </c>
      <c r="J3" s="15" t="s">
        <v>76</v>
      </c>
      <c r="K3" s="15"/>
      <c r="L3" s="15"/>
    </row>
    <row r="4" spans="1:12" ht="403.2" x14ac:dyDescent="0.3">
      <c r="A4" s="15">
        <v>3</v>
      </c>
      <c r="B4" s="15" t="s">
        <v>107</v>
      </c>
      <c r="C4" s="15" t="s">
        <v>102</v>
      </c>
      <c r="D4" s="15"/>
      <c r="E4" s="15" t="s">
        <v>31</v>
      </c>
      <c r="F4" s="21" t="s">
        <v>119</v>
      </c>
      <c r="G4" s="15" t="s">
        <v>29</v>
      </c>
      <c r="H4" s="15" t="s">
        <v>30</v>
      </c>
      <c r="I4" s="15">
        <f t="array" ref="I4">_xlfn.SWITCH(H4,"XS",1,"S",2,"M",3,"L",5,"XL",8,"XXL",13,"XXXL",21,"")</f>
        <v>5</v>
      </c>
      <c r="J4" s="15"/>
      <c r="K4" s="15"/>
      <c r="L4" s="15"/>
    </row>
    <row r="5" spans="1:12" ht="409.6" x14ac:dyDescent="0.3">
      <c r="A5" s="15">
        <v>4</v>
      </c>
      <c r="B5" s="15" t="s">
        <v>107</v>
      </c>
      <c r="C5" s="15" t="s">
        <v>104</v>
      </c>
      <c r="D5" s="15"/>
      <c r="E5" s="15" t="s">
        <v>31</v>
      </c>
      <c r="F5" s="21" t="s">
        <v>118</v>
      </c>
      <c r="G5" s="15" t="s">
        <v>29</v>
      </c>
      <c r="H5" s="15" t="s">
        <v>30</v>
      </c>
      <c r="I5" s="15">
        <f t="array" ref="I5">_xlfn.SWITCH(H5,"XS",1,"S",2,"M",3,"L",5,"XL",8,"XXL",13,"XXXL",21,"")</f>
        <v>5</v>
      </c>
      <c r="J5" s="15"/>
      <c r="K5" s="15"/>
      <c r="L5" s="15"/>
    </row>
    <row r="6" spans="1:12" ht="187.2" x14ac:dyDescent="0.3">
      <c r="A6" s="15">
        <v>5</v>
      </c>
      <c r="B6" s="15" t="s">
        <v>107</v>
      </c>
      <c r="C6" s="15" t="s">
        <v>103</v>
      </c>
      <c r="D6" s="15"/>
      <c r="E6" s="15" t="s">
        <v>22</v>
      </c>
      <c r="F6" s="21" t="s">
        <v>115</v>
      </c>
      <c r="G6" s="15" t="s">
        <v>29</v>
      </c>
      <c r="H6" s="15" t="s">
        <v>30</v>
      </c>
      <c r="I6" s="15">
        <f t="array" ref="I6">_xlfn.SWITCH(H6,"XS",1,"S",2,"M",3,"L",5,"XL",8,"XXL",13,"XXXL",21,"")</f>
        <v>5</v>
      </c>
      <c r="J6" s="15" t="s">
        <v>76</v>
      </c>
      <c r="K6" s="15"/>
      <c r="L6" s="15"/>
    </row>
    <row r="7" spans="1:12" ht="144" x14ac:dyDescent="0.3">
      <c r="A7" s="15">
        <v>6</v>
      </c>
      <c r="B7" s="15" t="s">
        <v>107</v>
      </c>
      <c r="C7" s="15" t="s">
        <v>105</v>
      </c>
      <c r="D7" s="15"/>
      <c r="E7" s="15" t="s">
        <v>20</v>
      </c>
      <c r="F7" s="21" t="s">
        <v>106</v>
      </c>
      <c r="G7" s="15" t="s">
        <v>29</v>
      </c>
      <c r="H7" s="15" t="s">
        <v>23</v>
      </c>
      <c r="I7" s="15">
        <f t="array" ref="I7">_xlfn.SWITCH(H7,"XS",1,"S",2,"M",3,"L",5,"XL",8,"XXL",13,"XXXL",21,"")</f>
        <v>2</v>
      </c>
      <c r="J7" s="15" t="s">
        <v>76</v>
      </c>
      <c r="K7" s="15"/>
      <c r="L7" s="15"/>
    </row>
    <row r="8" spans="1:12" ht="144" x14ac:dyDescent="0.3">
      <c r="A8" s="15">
        <v>7</v>
      </c>
      <c r="B8" s="15" t="s">
        <v>107</v>
      </c>
      <c r="C8" s="15" t="s">
        <v>108</v>
      </c>
      <c r="D8" s="15"/>
      <c r="E8" s="15" t="s">
        <v>20</v>
      </c>
      <c r="F8" s="16" t="s">
        <v>116</v>
      </c>
      <c r="G8" s="15" t="s">
        <v>29</v>
      </c>
      <c r="H8" s="15" t="s">
        <v>27</v>
      </c>
      <c r="I8" s="15">
        <f t="array" ref="I8">_xlfn.SWITCH(H8,"XS",1,"S",2,"M",3,"L",5,"XL",8,"XXL",13,"XXXL",21,"")</f>
        <v>3</v>
      </c>
      <c r="J8" s="15" t="s">
        <v>76</v>
      </c>
      <c r="K8" s="15"/>
      <c r="L8" s="15"/>
    </row>
    <row r="9" spans="1:12" ht="100.8" x14ac:dyDescent="0.3">
      <c r="A9" s="15">
        <v>8</v>
      </c>
      <c r="B9" s="15" t="s">
        <v>107</v>
      </c>
      <c r="C9" s="15">
        <v>6.5</v>
      </c>
      <c r="D9" s="15"/>
      <c r="E9" s="15" t="s">
        <v>20</v>
      </c>
      <c r="F9" s="21" t="s">
        <v>109</v>
      </c>
      <c r="G9" s="15" t="s">
        <v>29</v>
      </c>
      <c r="H9" s="15" t="s">
        <v>23</v>
      </c>
      <c r="I9" s="15">
        <f t="array" ref="I9">_xlfn.SWITCH(H9,"XS",1,"S",2,"M",3,"L",5,"XL",8,"XXL",13,"XXXL",21,"")</f>
        <v>2</v>
      </c>
      <c r="J9" s="15" t="s">
        <v>76</v>
      </c>
      <c r="K9" s="15"/>
      <c r="L9" s="15"/>
    </row>
    <row r="10" spans="1:12" ht="115.2" x14ac:dyDescent="0.3">
      <c r="A10" s="15">
        <v>9</v>
      </c>
      <c r="B10" s="15" t="s">
        <v>107</v>
      </c>
      <c r="C10" s="15" t="s">
        <v>110</v>
      </c>
      <c r="D10" s="15"/>
      <c r="E10" s="15" t="s">
        <v>20</v>
      </c>
      <c r="F10" s="16" t="s">
        <v>117</v>
      </c>
      <c r="G10" s="15" t="s">
        <v>89</v>
      </c>
      <c r="H10" s="15" t="s">
        <v>27</v>
      </c>
      <c r="I10" s="15">
        <f t="array" ref="I10">_xlfn.SWITCH(H10,"XS",1,"S",2,"M",3,"L",5,"XL",8,"XXL",13,"XXXL",21,"")</f>
        <v>3</v>
      </c>
      <c r="J10" s="15" t="s">
        <v>76</v>
      </c>
      <c r="K10" s="15"/>
      <c r="L10" s="15"/>
    </row>
    <row r="11" spans="1:12" ht="201.6" x14ac:dyDescent="0.3">
      <c r="A11" s="17">
        <v>10</v>
      </c>
      <c r="B11" s="17" t="s">
        <v>77</v>
      </c>
      <c r="C11" s="17">
        <v>19.3</v>
      </c>
      <c r="D11" s="17" t="s">
        <v>78</v>
      </c>
      <c r="E11" s="17" t="s">
        <v>20</v>
      </c>
      <c r="F11" s="18" t="s">
        <v>79</v>
      </c>
      <c r="G11" s="17" t="s">
        <v>24</v>
      </c>
      <c r="H11" s="17" t="s">
        <v>27</v>
      </c>
      <c r="I11" s="17">
        <f t="array" ref="I11">_xlfn.SWITCH(H11,"XS",1,"S",2,"M",3,"L",5,"XL",8,"XXL",13,"XXXL",21,"")</f>
        <v>3</v>
      </c>
      <c r="J11" s="17" t="s">
        <v>76</v>
      </c>
      <c r="K11" s="17"/>
      <c r="L11" s="17"/>
    </row>
    <row r="12" spans="1:12" ht="244.8" x14ac:dyDescent="0.3">
      <c r="A12" s="17">
        <v>11</v>
      </c>
      <c r="B12" s="17" t="s">
        <v>77</v>
      </c>
      <c r="C12" s="17">
        <v>19.3</v>
      </c>
      <c r="D12" s="17" t="s">
        <v>80</v>
      </c>
      <c r="E12" s="17" t="s">
        <v>20</v>
      </c>
      <c r="F12" s="18" t="s">
        <v>90</v>
      </c>
      <c r="G12" s="17" t="s">
        <v>24</v>
      </c>
      <c r="H12" s="17" t="s">
        <v>30</v>
      </c>
      <c r="I12" s="17">
        <f t="array" ref="I12">_xlfn.SWITCH(H12,"XS",1,"S",2,"M",3,"L",5,"XL",8,"XXL",13,"XXXL",21,"")</f>
        <v>5</v>
      </c>
      <c r="J12" s="17" t="s">
        <v>76</v>
      </c>
      <c r="K12" s="17"/>
      <c r="L12" s="17"/>
    </row>
    <row r="13" spans="1:12" ht="273.60000000000002" x14ac:dyDescent="0.3">
      <c r="A13" s="17">
        <v>12</v>
      </c>
      <c r="B13" s="17" t="s">
        <v>81</v>
      </c>
      <c r="C13" s="17">
        <v>20.3</v>
      </c>
      <c r="D13" s="17" t="s">
        <v>82</v>
      </c>
      <c r="E13" s="17" t="s">
        <v>20</v>
      </c>
      <c r="F13" s="18" t="s">
        <v>83</v>
      </c>
      <c r="G13" s="17" t="s">
        <v>24</v>
      </c>
      <c r="H13" s="17" t="s">
        <v>30</v>
      </c>
      <c r="I13" s="17">
        <f t="array" ref="I13">_xlfn.SWITCH(H13,"XS",1,"S",2,"M",3,"L",5,"XL",8,"XXL",13,"XXXL",21,"")</f>
        <v>5</v>
      </c>
      <c r="J13" s="17" t="s">
        <v>76</v>
      </c>
      <c r="K13" s="17"/>
      <c r="L13" s="17"/>
    </row>
    <row r="14" spans="1:12" ht="187.2" x14ac:dyDescent="0.3">
      <c r="A14" s="17">
        <v>13</v>
      </c>
      <c r="B14" s="17" t="s">
        <v>81</v>
      </c>
      <c r="C14" s="17">
        <v>20.3</v>
      </c>
      <c r="D14" s="17" t="s">
        <v>84</v>
      </c>
      <c r="E14" s="17" t="s">
        <v>20</v>
      </c>
      <c r="F14" s="18" t="s">
        <v>85</v>
      </c>
      <c r="G14" s="17" t="s">
        <v>24</v>
      </c>
      <c r="H14" s="17" t="s">
        <v>27</v>
      </c>
      <c r="I14" s="17">
        <f t="array" ref="I14">_xlfn.SWITCH(H14,"XS",1,"S",2,"M",3,"L",5,"XL",8,"XXL",13,"XXXL",21,"")</f>
        <v>3</v>
      </c>
      <c r="J14" s="17" t="s">
        <v>76</v>
      </c>
      <c r="K14" s="17"/>
      <c r="L14" s="17"/>
    </row>
    <row r="15" spans="1:12" ht="158.4" x14ac:dyDescent="0.3">
      <c r="A15" s="19">
        <v>14</v>
      </c>
      <c r="B15" s="19" t="s">
        <v>86</v>
      </c>
      <c r="C15" s="19"/>
      <c r="D15" s="19" t="s">
        <v>87</v>
      </c>
      <c r="E15" s="19" t="s">
        <v>22</v>
      </c>
      <c r="F15" s="20" t="s">
        <v>88</v>
      </c>
      <c r="G15" s="19" t="s">
        <v>24</v>
      </c>
      <c r="H15" s="19" t="s">
        <v>27</v>
      </c>
      <c r="I15" s="19">
        <f t="array" ref="I15">_xlfn.SWITCH(H15,"XS",1,"S",2,"M",3,"L",5,"XL",8,"XXL",13,"XXXL",21,"")</f>
        <v>3</v>
      </c>
      <c r="J15" s="19" t="s">
        <v>76</v>
      </c>
      <c r="K15" s="19"/>
      <c r="L15" s="19"/>
    </row>
    <row r="16" spans="1:12" ht="244.8" x14ac:dyDescent="0.3">
      <c r="A16" s="8">
        <v>15</v>
      </c>
      <c r="B16" s="8" t="s">
        <v>77</v>
      </c>
      <c r="C16" s="8">
        <v>19.3</v>
      </c>
      <c r="D16" s="8" t="s">
        <v>91</v>
      </c>
      <c r="E16" s="8" t="s">
        <v>31</v>
      </c>
      <c r="F16" s="10" t="s">
        <v>92</v>
      </c>
      <c r="G16" s="8" t="s">
        <v>29</v>
      </c>
      <c r="H16" s="8" t="s">
        <v>30</v>
      </c>
      <c r="I16" s="8">
        <f t="array" ref="I16">_xlfn.SWITCH(H16,"XS",1,"S",2,"M",3,"L",5,"XL",8,"XXL",13,"XXXL",21,"")</f>
        <v>5</v>
      </c>
      <c r="J16" s="8"/>
      <c r="K16" s="8"/>
      <c r="L16" s="8"/>
    </row>
    <row r="17" spans="1:12" ht="230.4" x14ac:dyDescent="0.3">
      <c r="A17" s="8">
        <v>16</v>
      </c>
      <c r="B17" s="8" t="s">
        <v>81</v>
      </c>
      <c r="C17" s="8">
        <v>20.3</v>
      </c>
      <c r="D17" s="8" t="s">
        <v>93</v>
      </c>
      <c r="E17" s="8" t="s">
        <v>31</v>
      </c>
      <c r="F17" s="10" t="s">
        <v>94</v>
      </c>
      <c r="G17" s="8" t="s">
        <v>29</v>
      </c>
      <c r="H17" s="8" t="s">
        <v>30</v>
      </c>
      <c r="I17" s="8">
        <f t="array" ref="I17">_xlfn.SWITCH(H17,"XS",1,"S",2,"M",3,"L",5,"XL",8,"XXL",13,"XXXL",21,"")</f>
        <v>5</v>
      </c>
      <c r="J17" s="8"/>
      <c r="K17" s="8"/>
      <c r="L17" s="8"/>
    </row>
    <row r="18" spans="1:12" ht="244.8" x14ac:dyDescent="0.3">
      <c r="A18" s="8">
        <v>17</v>
      </c>
      <c r="B18" s="8" t="s">
        <v>81</v>
      </c>
      <c r="C18" s="8">
        <v>20.399999999999999</v>
      </c>
      <c r="D18" s="8" t="s">
        <v>95</v>
      </c>
      <c r="E18" s="8" t="s">
        <v>31</v>
      </c>
      <c r="F18" s="10" t="s">
        <v>96</v>
      </c>
      <c r="G18" s="8" t="s">
        <v>29</v>
      </c>
      <c r="H18" s="8" t="s">
        <v>30</v>
      </c>
      <c r="I18" s="8">
        <v>5</v>
      </c>
      <c r="J18" s="8"/>
      <c r="K18" s="8"/>
      <c r="L18" s="8"/>
    </row>
    <row r="19" spans="1:12" ht="273.60000000000002" x14ac:dyDescent="0.3">
      <c r="A19" s="8">
        <v>18</v>
      </c>
      <c r="B19" s="8" t="s">
        <v>97</v>
      </c>
      <c r="C19" s="8" t="s">
        <v>111</v>
      </c>
      <c r="D19" s="8" t="s">
        <v>98</v>
      </c>
      <c r="E19" s="8" t="s">
        <v>31</v>
      </c>
      <c r="F19" s="10" t="s">
        <v>99</v>
      </c>
      <c r="G19" s="8" t="s">
        <v>29</v>
      </c>
      <c r="H19" s="8" t="s">
        <v>30</v>
      </c>
      <c r="I19" s="8">
        <v>5</v>
      </c>
      <c r="J19" s="8"/>
      <c r="K19" s="8"/>
      <c r="L19" s="8"/>
    </row>
    <row r="20" spans="1:12" ht="345.6" x14ac:dyDescent="0.3">
      <c r="A20" s="8">
        <v>19</v>
      </c>
      <c r="B20" s="8" t="s">
        <v>97</v>
      </c>
      <c r="C20" s="8" t="s">
        <v>112</v>
      </c>
      <c r="D20" s="8" t="s">
        <v>101</v>
      </c>
      <c r="E20" s="8" t="s">
        <v>31</v>
      </c>
      <c r="F20" s="10" t="s">
        <v>100</v>
      </c>
      <c r="G20" s="8" t="s">
        <v>29</v>
      </c>
      <c r="H20" s="8" t="s">
        <v>30</v>
      </c>
      <c r="I20" s="8">
        <v>5</v>
      </c>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t="str">
        <f t="array" ref="I25">_xlfn.SWITCH(H25,"XS",1,"S",2,"M",3,"L",5,"XL",8,"XXL",13,"XXXL",21,"")</f>
        <v/>
      </c>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7"/>
      <c r="G32" s="8"/>
      <c r="H32" s="8"/>
      <c r="I32" s="8" t="str">
        <f t="array" ref="I32">_xlfn.SWITCH(H32,"XS",1,"S",2,"M",3,"L",5,"XL",8,"XXL",13,"XXXL",21,"")</f>
        <v/>
      </c>
      <c r="J32" s="8"/>
      <c r="K32" s="8"/>
      <c r="L32" s="8"/>
    </row>
    <row r="33" spans="1:12" x14ac:dyDescent="0.3">
      <c r="A33" s="8"/>
      <c r="B33" s="8"/>
      <c r="C33" s="8"/>
      <c r="D33" s="8"/>
      <c r="E33" s="8"/>
      <c r="F33" s="9"/>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10"/>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9"/>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7"/>
      <c r="G67" s="8"/>
      <c r="H67" s="8"/>
      <c r="I67" s="8" t="str">
        <f t="array" ref="I67">_xlfn.SWITCH(H67,"XS",1,"S",2,"M",3,"L",5,"XL",8,"XXL",13,"XXXL",21,"")</f>
        <v/>
      </c>
      <c r="J67" s="8"/>
      <c r="K67" s="8"/>
      <c r="L67" s="8"/>
    </row>
    <row r="68" spans="1:12" x14ac:dyDescent="0.3">
      <c r="A68" s="8"/>
      <c r="B68" s="8"/>
      <c r="C68" s="8"/>
      <c r="D68" s="8"/>
      <c r="E68" s="8"/>
      <c r="F68" s="9"/>
      <c r="G68" s="8"/>
      <c r="H68" s="8"/>
      <c r="I68" s="8" t="str">
        <f t="array" ref="I68">_xlfn.SWITCH(H68,"XS",1,"S",2,"M",3,"L",5,"XL",8,"XXL",13,"XXXL",21,"")</f>
        <v/>
      </c>
      <c r="J68" s="8"/>
      <c r="K68" s="8"/>
      <c r="L68" s="8"/>
    </row>
    <row r="69" spans="1:12" x14ac:dyDescent="0.3">
      <c r="A69" s="8"/>
      <c r="B69" s="8"/>
      <c r="C69" s="8"/>
      <c r="D69" s="8"/>
      <c r="E69" s="8"/>
      <c r="F69" s="7"/>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9"/>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10"/>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10" sqref="F10"/>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75-SUM(E$2:E2)</f>
        <v>75</v>
      </c>
      <c r="D2" s="1">
        <f>75*(1-(A2/8))</f>
        <v>75</v>
      </c>
      <c r="E2" s="1">
        <v>0</v>
      </c>
    </row>
    <row r="3" spans="1:12" x14ac:dyDescent="0.3">
      <c r="A3" s="2">
        <v>1</v>
      </c>
      <c r="B3" s="14">
        <v>46252</v>
      </c>
      <c r="C3" s="4">
        <f>75-SUM(E$2:E3)</f>
        <v>75</v>
      </c>
      <c r="D3" s="1">
        <f t="shared" ref="D3:D10" si="0">75*(1-(A3/8))</f>
        <v>65.625</v>
      </c>
      <c r="E3" s="1">
        <v>0</v>
      </c>
    </row>
    <row r="4" spans="1:12" x14ac:dyDescent="0.3">
      <c r="A4" s="2">
        <v>2</v>
      </c>
      <c r="B4" s="14">
        <v>46253</v>
      </c>
      <c r="C4" s="4">
        <f>75-SUM(E$2:E4)</f>
        <v>75</v>
      </c>
      <c r="D4" s="1">
        <f t="shared" si="0"/>
        <v>56.25</v>
      </c>
      <c r="E4" s="1">
        <v>0</v>
      </c>
      <c r="L4" s="3"/>
    </row>
    <row r="5" spans="1:12" x14ac:dyDescent="0.3">
      <c r="A5" s="2">
        <v>3</v>
      </c>
      <c r="B5" s="14">
        <v>46254</v>
      </c>
      <c r="C5" s="4">
        <f>75-SUM(E$2:E5)</f>
        <v>75</v>
      </c>
      <c r="D5" s="1">
        <f t="shared" si="0"/>
        <v>46.875</v>
      </c>
      <c r="E5" s="1">
        <v>0</v>
      </c>
    </row>
    <row r="6" spans="1:12" x14ac:dyDescent="0.3">
      <c r="A6" s="2">
        <v>4</v>
      </c>
      <c r="B6" s="14">
        <v>46255</v>
      </c>
      <c r="C6" s="4">
        <f>75-SUM(E$2:E6)</f>
        <v>75</v>
      </c>
      <c r="D6" s="1">
        <f t="shared" si="0"/>
        <v>37.5</v>
      </c>
      <c r="E6" s="1">
        <v>0</v>
      </c>
    </row>
    <row r="7" spans="1:12" x14ac:dyDescent="0.3">
      <c r="A7" s="2">
        <v>5</v>
      </c>
      <c r="B7" s="14">
        <v>46258</v>
      </c>
      <c r="C7" s="4">
        <f>75-SUM(E$2:E7)</f>
        <v>75</v>
      </c>
      <c r="D7" s="1">
        <f t="shared" si="0"/>
        <v>28.125</v>
      </c>
      <c r="E7" s="1">
        <v>0</v>
      </c>
    </row>
    <row r="8" spans="1:12" x14ac:dyDescent="0.3">
      <c r="A8" s="2">
        <v>6</v>
      </c>
      <c r="B8" s="14">
        <v>46259</v>
      </c>
      <c r="C8" s="4">
        <f>75-SUM(E$2:E8)</f>
        <v>75</v>
      </c>
      <c r="D8" s="1">
        <f t="shared" si="0"/>
        <v>18.75</v>
      </c>
      <c r="E8" s="1">
        <v>0</v>
      </c>
    </row>
    <row r="9" spans="1:12" x14ac:dyDescent="0.3">
      <c r="A9" s="2">
        <v>7</v>
      </c>
      <c r="B9" s="14">
        <v>46260</v>
      </c>
      <c r="C9" s="4">
        <f>75-SUM(E$2:E9)</f>
        <v>75</v>
      </c>
      <c r="D9" s="1">
        <f t="shared" si="0"/>
        <v>9.375</v>
      </c>
      <c r="E9" s="1">
        <v>0</v>
      </c>
    </row>
    <row r="10" spans="1:12" x14ac:dyDescent="0.3">
      <c r="A10" s="2">
        <v>8</v>
      </c>
      <c r="B10" s="14">
        <v>46261</v>
      </c>
      <c r="C10" s="4">
        <f>75-SUM(E$2:E10)</f>
        <v>75</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2026-08-27T07:52:22Z</dcterms:modified>
</cp:coreProperties>
</file>