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7FE696C6-D790-467D-9513-75CA5AD684B9}" xr6:coauthVersionLast="47" xr6:coauthVersionMax="47" xr10:uidLastSave="{00000000-0000-0000-0000-000000000000}"/>
  <bookViews>
    <workbookView xWindow="-108" yWindow="-108" windowWidth="23256" windowHeight="12456" activeTab="2" xr2:uid="{00000000-000D-0000-FFFF-FFFF00000000}"/>
  </bookViews>
  <sheets>
    <sheet name="Sprint 01" sheetId="1" r:id="rId1"/>
    <sheet name="Sprint 01 Burndown" sheetId="4" r:id="rId2"/>
    <sheet name="Sprint 02" sheetId="5" r:id="rId3"/>
    <sheet name="Sprint 02 Burndown" sheetId="6" r:id="rId4"/>
  </sheets>
  <definedNames>
    <definedName name="_xlnm._FilterDatabase" localSheetId="0" hidden="1">'Sprint 01'!$E$1:$E$112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6" l="1"/>
  <c r="D4" i="6"/>
  <c r="D5" i="6"/>
  <c r="D6" i="6"/>
  <c r="D7" i="6"/>
  <c r="D8" i="6"/>
  <c r="D9" i="6"/>
  <c r="D10" i="6"/>
  <c r="D2" i="6"/>
  <c r="C3" i="6"/>
  <c r="C4" i="6"/>
  <c r="C5" i="6"/>
  <c r="C6" i="6"/>
  <c r="C7" i="6"/>
  <c r="C8" i="6"/>
  <c r="C9" i="6"/>
  <c r="C10" i="6"/>
  <c r="C2" i="6"/>
  <c r="I4" i="5" a="1"/>
  <c r="I4" i="5" s="1"/>
  <c r="I5" i="5" a="1"/>
  <c r="I5" i="5" s="1"/>
  <c r="I17" i="5" a="1"/>
  <c r="I17" i="5" s="1"/>
  <c r="I16" i="5" a="1"/>
  <c r="I16" i="5" s="1"/>
  <c r="I15" i="5" a="1"/>
  <c r="I15" i="5" s="1"/>
  <c r="I13" i="5" a="1"/>
  <c r="I13" i="5" s="1"/>
  <c r="I14" i="5" a="1"/>
  <c r="I14" i="5" s="1"/>
  <c r="I12" i="5" a="1"/>
  <c r="I12" i="5" s="1"/>
  <c r="I11" i="5" a="1"/>
  <c r="I11" i="5" s="1"/>
  <c r="I10" i="5" a="1"/>
  <c r="I10" i="5" s="1"/>
  <c r="I3" i="5" a="1"/>
  <c r="I3" i="5" s="1"/>
  <c r="I6" i="5" a="1"/>
  <c r="I6" i="5" s="1"/>
  <c r="I7" i="5" a="1"/>
  <c r="I7" i="5" s="1"/>
  <c r="I8" i="5" a="1"/>
  <c r="I8" i="5" s="1"/>
  <c r="I9" i="5" a="1"/>
  <c r="I9" i="5" s="1"/>
  <c r="I111" i="5" a="1"/>
  <c r="I111" i="5" s="1"/>
  <c r="I110" i="5" a="1"/>
  <c r="I110" i="5" s="1"/>
  <c r="I109" i="5" a="1"/>
  <c r="I109" i="5" s="1"/>
  <c r="I108" i="5" a="1"/>
  <c r="I108" i="5" s="1"/>
  <c r="I107" i="5" a="1"/>
  <c r="I107" i="5" s="1"/>
  <c r="I106" i="5" a="1"/>
  <c r="I106" i="5" s="1"/>
  <c r="I105" i="5" a="1"/>
  <c r="I105" i="5" s="1"/>
  <c r="I104" i="5" a="1"/>
  <c r="I104" i="5" s="1"/>
  <c r="I103" i="5" a="1"/>
  <c r="I103" i="5" s="1"/>
  <c r="I102" i="5" a="1"/>
  <c r="I102" i="5" s="1"/>
  <c r="I101" i="5" a="1"/>
  <c r="I101" i="5" s="1"/>
  <c r="I100" i="5" a="1"/>
  <c r="I100" i="5" s="1"/>
  <c r="I99" i="5" a="1"/>
  <c r="I99" i="5" s="1"/>
  <c r="I98" i="5" a="1"/>
  <c r="I98" i="5" s="1"/>
  <c r="I97" i="5" a="1"/>
  <c r="I97" i="5" s="1"/>
  <c r="I96" i="5" a="1"/>
  <c r="I96" i="5" s="1"/>
  <c r="I95" i="5" a="1"/>
  <c r="I95" i="5" s="1"/>
  <c r="I94" i="5" a="1"/>
  <c r="I94" i="5" s="1"/>
  <c r="I93" i="5" a="1"/>
  <c r="I93" i="5" s="1"/>
  <c r="I92" i="5" a="1"/>
  <c r="I92" i="5" s="1"/>
  <c r="I91" i="5" a="1"/>
  <c r="I91" i="5" s="1"/>
  <c r="I90" i="5" a="1"/>
  <c r="I90" i="5" s="1"/>
  <c r="I89" i="5" a="1"/>
  <c r="I89" i="5" s="1"/>
  <c r="I88" i="5" a="1"/>
  <c r="I88" i="5" s="1"/>
  <c r="I87" i="5" a="1"/>
  <c r="I87" i="5" s="1"/>
  <c r="I86" i="5" a="1"/>
  <c r="I86" i="5" s="1"/>
  <c r="I85" i="5" a="1"/>
  <c r="I85" i="5" s="1"/>
  <c r="I84" i="5" a="1"/>
  <c r="I84" i="5" s="1"/>
  <c r="I83" i="5" a="1"/>
  <c r="I83" i="5" s="1"/>
  <c r="I82" i="5" a="1"/>
  <c r="I82" i="5" s="1"/>
  <c r="I81" i="5" a="1"/>
  <c r="I81" i="5" s="1"/>
  <c r="I80" i="5" a="1"/>
  <c r="I80" i="5" s="1"/>
  <c r="I79" i="5" a="1"/>
  <c r="I79" i="5" s="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a="1"/>
  <c r="I37" i="5" s="1"/>
  <c r="I36" i="5" a="1"/>
  <c r="I36" i="5" s="1"/>
  <c r="I35" i="5" a="1"/>
  <c r="I35" i="5" s="1"/>
  <c r="I34" i="5" a="1"/>
  <c r="I34" i="5" s="1"/>
  <c r="I33" i="5" a="1"/>
  <c r="I33" i="5" s="1"/>
  <c r="I32" i="5" a="1"/>
  <c r="I32" i="5" s="1"/>
  <c r="I31" i="5" a="1"/>
  <c r="I31" i="5" s="1"/>
  <c r="I30" i="5" a="1"/>
  <c r="I30" i="5" s="1"/>
  <c r="I29" i="5" a="1"/>
  <c r="I29" i="5" s="1"/>
  <c r="I28" i="5" a="1"/>
  <c r="I28" i="5" s="1"/>
  <c r="I27" i="5" a="1"/>
  <c r="I27" i="5" s="1"/>
  <c r="I26" i="5" a="1"/>
  <c r="I26" i="5" s="1"/>
  <c r="I25" i="5" a="1"/>
  <c r="I25"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<sst xmlns="http://schemas.openxmlformats.org/spreadsheetml/2006/main" count="317" uniqueCount="121">
  <si>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</si>
  <si>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</si>
  <si>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</si>
  <si>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</si>
  <si>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</si>
  <si>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</si>
  <si>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</si>
  <si>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</si>
  <si>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</si>
  <si>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</si>
  <si>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</si>
  <si>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</si>
  <si>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</si>
  <si>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</si>
  <si>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</si>
  <si>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</si>
  <si>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</si>
  <si>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</si>
  <si>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</si>
  <si>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</si>
  <si>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</si>
  <si>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</si>
  <si>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</si>
  <si>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</si>
  <si>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</si>
  <si>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</si>
  <si>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</si>
  <si>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</si>
  <si>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</si>
  <si>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</si>
  <si>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</si>
  <si>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</si>
  <si>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</si>
  <si>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</si>
  <si>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</si>
  <si>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</si>
  <si>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</si>
  <si>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</si>
  <si>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</si>
  <si>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</si>
  <si>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</si>
  <si>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</si>
  <si>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</si>
  <si>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</si>
  <si>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</si>
  <si>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</si>
  <si>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</si>
  <si>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</si>
  <si>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</si>
  <si>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</si>
  <si>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</si>
  <si>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</si>
  <si>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</si>
  <si>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</si>
  <si>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</si>
  <si>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</si>
  <si>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</si>
  <si>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</si>
  <si>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</si>
  <si>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</si>
  <si>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</si>
  <si>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</si>
  <si>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</si>
  <si>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</si>
  <si>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</si>
  <si>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</si>
  <si>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</si>
  <si>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</si>
  <si>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</si>
  <si>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</si>
  <si>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</si>
  <si>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</si>
  <si>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</si>
  <si>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</si>
  <si>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</si>
  <si>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</si>
  <si>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Document Wallet - Documents</t>
  </si>
  <si>
    <t>ToDo</t>
  </si>
  <si>
    <t>Cardiovascular Reading</t>
  </si>
  <si>
    <t>Cardiovascular Camera Scanner UI &amp; Permission Handling</t>
  </si>
  <si>
    <t>Cardiovascular Camera Scanner UI &amp; Permission Handling
* **Target Files**:
* `checkupp-mobile-main/app/(tabs)/cardiovascular.tsx`
* `checkupp-mobile-main/components/camera/ScanMonitorModal.tsx`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 **Acceptance Criteria Covered**: US 19.3 (AC 1, 2, 3, 4, 7)</t>
  </si>
  <si>
    <t>OCR Processing, Frame Processor &amp; Form Auto-Fill</t>
  </si>
  <si>
    <t>Diabetes Test</t>
  </si>
  <si>
    <t>Single-Number OCR, Contextual Selection &amp; Auto-Fill</t>
  </si>
  <si>
    <t>Glucometer ML Kit Scanning &amp; Contextual Reading Modal
* **Target Files**:
* `checkupp-mobile-main/app/(tabs)/diabetes.tsx`
* `checkupp-mobile-main/components/camera/GlucometerScannerModal.tsx`
* `checkupp-mobile-main/components/ReadingTypeBottomSheet.tsx`
* **Description**:
1. Place a "Scan Glucometer" button prominently at the top of the Blood Glucose section in the Diabetes form.
2. Implement a focused scanner modal targeting single numbers (including decimals, e.g., 5.6 or 12.1) using regular expression matching.
3. Upon capturing the valid glucose value, display `ReadingTypeBottomSheet.tsx` asking: `"What type of reading is this?"` with options:
* Fasting Glucose
* Random Glucose
* Post-Meal Glucose
4. Inject the scanned number specifically into the selected option's field and close the bottom sheet.
5. Enforce human-in-the-loop confirmation where the user must manually tap "Save Reading" to commit to the backend.
6. Add the 10-second scanner timeout alert with manual fallback options.
* **Acceptance Criteria Covered**: US 20.3 - Glucometer (AC 1, 2, 3, 4, 5, 6, 7)</t>
  </si>
  <si>
    <t>Contrast Pre-Processing, Regex Extraction &amp; Auto-Fill</t>
  </si>
  <si>
    <t>Digital Weight Scale Camera Scanner with Image Pre-Processing
* **Target Files**:
* `checkupp-mobile-main/app/(tabs)/diabetes.tsx`
* `checkupp-mobile-main/components/camera/ScaleScannerModal.tsx`
* `checkupp-mobile-main/lib/utils/imageUtils.ts`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</si>
  <si>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Global Backend &amp; Validation Tasks</t>
  </si>
  <si>
    <t>Controller, Validation &amp; Database Schema</t>
  </si>
  <si>
    <t>Vitals &amp; Diabetes Measurement Ingestion Verification
* **Target Files**:
* `checkupp-api-main/src/modules/vitals/vitals.controller.ts`
* `checkupp-api-main/src/modules/vitals/vitals.validation.ts`
* `checkupp-api-main/tests/modules/vitals/vitals.test.ts`
* **Description**:
1. Ensure `vitals.validation.ts` accommodates auto-filled decimal and integer values strictly matching physiological sanity bounds (e.g., Systolic 50–250 mmHg, Weight 20–300 kg, Glucose 1–35 mmol/L or 20–600 mg/dL).
2. Write unit and integration tests verifying that incoming payloads from both manual entry and camera-scanned flows validate identically and save correctly to user history.
* **Acceptance Criteria Covered**: Cross-epic data integrity for US 19.3 &amp; US 20.3</t>
  </si>
  <si>
    <t>Alekhya &amp; Atish</t>
  </si>
  <si>
    <t>Blood Pressure ML Kit Extraction, Y-Coordinate Sorting &amp; Validation
* **Target Files**:
* `checkupp-mobile-main/lib/utils/ocrUtils.ts`
* `checkupp-mobile-main/components/camera/ScanMonitorModal.tsx`
* `checkupp-mobile-main/app/(tabs)/cardiovascular.tsx`
* **Description**: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Toast/Banner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</si>
  <si>
    <t>Live-scan digital blood pressure monitor</t>
  </si>
  <si>
    <t>Implement Blood Pressure OCR Extraction and Y-Coordinate Mapping with Jest TDD
Target Files:
• checkupp-mobile-main/lib/scanner/bloodPressureScanner.js
• checkupp-mobile-main/__tests__/cardiovascular/scan-monitor-image.test.js
Description:
1. Reuse the existing Google ML Kit Text Recognition integration.
2. Extract three valid numeric values from the BP monitor OCR response.
3. Sort OCR candidates using their vertical bounding-box position and map them to Systolic, Diastolic and Heart Rate according to the agreed screen-coordinate convention.
4. Ignore unrelated values such as date, time, memory number and unit labels.
5. Ensure shuffled ML Kit OCR results produce the same final BP values.
6. Return null when one or more required readings cannot be reliably identified.
7. Add Jest tests for normal, shuffled, incomplete, irrelevant and malformed OCR results.
Acceptance Criteria Covered: US 19.3 – Extraction Logic (Y-Coordinate Sorting)</t>
  </si>
  <si>
    <t>Live-scan digital glucometer</t>
  </si>
  <si>
    <t>Implement Glucometer Single-Value OCR Extraction and Regex Validation with Jest TDD
Target Files:
• checkupp-mobile-main/lib/scanner/glucoseScanner.js
• checkupp-mobile-main/__tests__/diabetes/scan-glucometer-image.test.js
Description:
1. Reuse Google ML Kit Text Recognition to process the glucometer display.
2. Extract one glucose value using regex validation.
3. Support values such as 5, 5.6, 12 and 12.1.
4. Ignore unrelated date, time, memory and unit values.
5. Select the primary LCD value when multiple numeric OCR results are present.
6. Reject malformed values, multiple decimal points, negative values, alphabetic text and empty OCR results.
7. Add Jest tests covering normal, dark, glare, blur, multiple-number and invalid-value scenarios.
Acceptance Criteria Covered: US 20.3 – Extraction Logic (Regex) and scan accuracy</t>
  </si>
  <si>
    <t>Live-scan digital weighing scale</t>
  </si>
  <si>
    <t>Implement Digital Weighing Scale LCD OCR and Weight Validation with Jest TDD
Target Files:
• checkupp-mobile-main/lib/scanner/weightScanner.js
• checkupp-mobile-main/__tests__/diabetes/scan-digital-scale-image.test.js
Description:
1. Implement OCR-based scanning specifically for the supplied digital LCD weighing scale; do not implement analog needle detection.
2. Extract values such as 68, 68.7, 68.70, 98 and 98.40.
3. Support OCR values containing the kg suffix, such as 68.70 kg and 68.70kg.
4. Validate the extracted value before auto-fill using a regex such as ^\\d{2,3}(?:\\.\\d{1,2})?$.
5. Reject negative, alphabetic, malformed, multiple-decimal, impossible and four-digit values.
6. Use the supplied digital-scale image displaying 68.70 kg as the reference test scenario.
7. Add Jest tests for normal, dark, glare, blur, rotation, obstruction and malformed OCR cases.
Acceptance Criteria Covered: US 20.4 – Extraction Logic and Auto-Fill</t>
  </si>
  <si>
    <t>Shared Scanner</t>
  </si>
  <si>
    <t>Shared camera scanning</t>
  </si>
  <si>
    <t>Implement Shared Camera Performance, Permission and Timeout Handling with Jest TDD
Target Files:
• checkupp-mobile-main/lib/scanner/deviceScanner.js
• Existing camera component under checkupp-mobile-main/components/
• checkupp-mobile-main/__tests__/scanner/scanner-edge-cases.test.js
Description:
1. Reuse the existing native camera permission implementation.
2. Handle already-granted, requested, denied and revoked camera permissions gracefully.
3. Limit ML Kit frame processing to 15–30 FPS instead of processing every camera frame.
4. Start a 10-second timeout whenever a scanner opens.
5. Cancel the timeout after successful detection, cancellation or scanner closure.
6. Display the exact timeout message: "Having trouble reading the screen. Ensure there is no glare, or switch to manual entry."
7. Provide an easy exit/manual-entry action after timeout.
8. Add Jest fake-timer and mocked-permission tests.
Acceptance Criteria Covered: US 19.3 – Permissions, Performance, Timeout; US 20.3 – Timeout; US 20.4 – Timeout</t>
  </si>
  <si>
    <t>Implement Image Quality, Bounding-Box Filtering and Multi-Frame Stability with Jest TDD
Target Files:
• checkupp-mobile-main/lib/scanner/bloodPressureScanner.js
• checkupp-mobile-main/lib/scanner/glucoseScanner.js
• checkupp-mobile-main/lib/scanner/weightScanner.js
• checkupp-mobile-main/__tests__/cardiovascular/scan-monitor-image.test.js
• checkupp-mobile-main/__tests__/diabetes/scan-glucometer-image.test.js
• checkupp-mobile-main/__tests__/diabetes/scan-digital-scale-image.test.js
Description:
1. Filter OCR results so only values inside the appropriate target bounding box are considered.
2. Ignore numbers outside the target region and unrelated OCR text.
3. Handle rotated OCR coordinates after normalization.
4. Reject unreadable values caused by severe glare, blur or obstruction when confidence is insufficient.
5. Implement multi-frame stability so a measurement must remain consistent before auto-fill.
6. Treat equivalent weight formats such as 68.7 and 68.70 as the same numeric value.
7. Reject fluctuating OCR results and insufficient frames.
8. Ensure failed or uncertain scans never overwrite manually entered values.
9. Add Jest tests for lighting, glare, blur, rotation, obstruction, target-box failures, unstable readings and false-positive protection.
Acceptance Criteria Covered: US 19.3 – Extraction Reliability; US 20.3 – Scan Reliability; US 20.4 – Lighting/Contrast and Extraction Reliability</t>
  </si>
  <si>
    <t>Shared measurement reliability</t>
  </si>
  <si>
    <t>6.1, 6.3, 7.1, 7.4</t>
  </si>
  <si>
    <t>6.1, 6.3, 7.4</t>
  </si>
  <si>
    <t>6.2, 6.3, 6.4, 6.5, 6.6, 7.2, 7.3, 7.4, 7.5</t>
  </si>
  <si>
    <t>6.3, 6.6, 7.5</t>
  </si>
  <si>
    <r>
      <t xml:space="preserve">Refactor FileCard component to implement 3-Dot (Kebab) Action Menu &amp; Share Button
</t>
    </r>
    <r>
      <rPr>
        <sz val="11"/>
        <color theme="1"/>
        <rFont val="Calibri"/>
        <family val="2"/>
        <scheme val="minor"/>
      </rPr>
      <t>Target Files:Modify: checkupp-mobile/app/(tabs)/wallet.tsx (Inside the FileCard declaration)  
Ambiguity-Free Technical Specification:
Refactor the FileCard component. The outermost wrapper must be a View (not TouchableOpacity) to prevent touch-target conflicts.
In the "Actions" flex row, render a prominent primary TouchableOpacity for "Share" (e.g., green styling).Render a secondary TouchableOpacity for the kebab menu (MaterialCommunityIcons name="dots-vertical").
Implement handleMoreOptions using React Native's Alert.alert. If item.fileType === 'link', show options: [Open, Delete, Cancel]. If it is a document/image, show: [View, Download, Delete, Cancel]. Wire these to the respective prop callbacks (onView, onDelete, onDownload).</t>
    </r>
  </si>
  <si>
    <t>Document Wallet</t>
  </si>
  <si>
    <t>6.2, 7.3</t>
  </si>
  <si>
    <r>
      <t xml:space="preserve">Implement secure local download &amp; save to device logic
</t>
    </r>
    <r>
      <rPr>
        <sz val="11"/>
        <color theme="1"/>
        <rFont val="Calibri"/>
        <family val="2"/>
        <scheme val="minor"/>
      </rPr>
      <t>Target Files:Create: checkupp-mobile/hooks/useDocumentDownload.ts
Ambiguity-Free Technical Specification:
Create a hook returning { downloadItem, isDownloading }.
Utilize FileSystem.downloadAsync to pull the file to FileSystem.documentDirectory (iOS) or a public folder via Android intents.For images, leverage expo-media-library to save directly to the camera roll (MediaLibrary.saveToLibraryAsync).  Fire success toasts ("Download complete") or error toasts ("Download failed, please try again").</t>
    </r>
  </si>
  <si>
    <t>6.4, 7.2, 7.4</t>
  </si>
  <si>
    <t>19.3,  20.3,  20.4</t>
  </si>
  <si>
    <t>19.3, 20.3, 20.4</t>
  </si>
  <si>
    <r>
      <t xml:space="preserve">TDD - </t>
    </r>
    <r>
      <rPr>
        <b/>
        <sz val="11"/>
        <color theme="1"/>
        <rFont val="Calibri"/>
        <family val="2"/>
        <scheme val="minor"/>
      </rPr>
      <t>Automated Jest test suite for Firebase Storage upload/delete &amp; Link creation</t>
    </r>
    <r>
      <rPr>
        <sz val="11"/>
        <color theme="1"/>
        <rFont val="Calibri"/>
        <family val="2"/>
        <scheme val="minor"/>
      </rPr>
      <t xml:space="preserve">
Target Files:Create: checkupp-api/tests/modules/wallet/wallet.test.ts
Ambiguity-Free Technical Specification:
Initialize a Jest test suite using supertest against the Express app. Mock the Firebase Admin Storage bucket module and ensure the mocked bucket targets an Australian region configuration (australia-southeast1).
Test Case 1 (US 6.1): Mock a file buffer upload to PUT /me/wallet/uploads/pending. Assert that the mocked Firebase bucket upload function is called and a 201 response is returned with the cloud URL.
Test Case 2 (US 7.1): POST to /me/wallet/links with a valid e-script URL. Assert a 201 response and verify the database record contains fileType: LINK and the proper external URL 
Test Case 3 (US 6.3, 7.4): DELETE /me/wallet/documents/:id. Assert that the database record is removed and an immutable AuditLog entry is written. For physical documents, assert that the mocked Firebase bucket delete method is invoked.</t>
    </r>
  </si>
  <si>
    <r>
      <t xml:space="preserve">TDD - </t>
    </r>
    <r>
      <rPr>
        <b/>
        <sz val="11"/>
        <color theme="1"/>
        <rFont val="Calibri"/>
        <family val="2"/>
        <scheme val="minor"/>
      </rPr>
      <t>Automated Jest test suite for 3-Dot Menu, Native Sharing &amp; Local Downloads</t>
    </r>
    <r>
      <rPr>
        <sz val="11"/>
        <color theme="1"/>
        <rFont val="Calibri"/>
        <family val="2"/>
        <scheme val="minor"/>
      </rPr>
      <t xml:space="preserve">
Target Files:Create: checkupp-mobile/tests/wallet/walletCardInteractions.test.js
Ambiguity-Free Technical Specification:
Setup tests using @testing-library/react-native. Mock expo-file-system, expo-sharing, and React Native's Share and Alert modules.  
Test Case 1 (US 6.6, 7.5): Render the FileCard component. Assert the explicit "View" and "Delete" buttons are absent, and the "Share" icon + "3-dot" icon are present.
Test Case 2 (US 6.3, 7.4): Simulate press on the 3-dot menu. Assert Alert.alert (or ActionSheet) is called with "View/Open", "Download" (only for documents, not links/e-scipts), "Delete", and "Cancel".
Test Case 3 (US 6.2, 7.3): Simulate press on the "Share" button for a document. Assert FileSystem.downloadAsync is called, followed by Sharing.shareAsync. For an e-script, assert Share.share is called with the URL.</t>
    </r>
  </si>
  <si>
    <r>
      <t xml:space="preserve">Refactor wallet.service.ts to stream uploads to Australian Firebase Storage bucket with Audit Logging
</t>
    </r>
    <r>
      <rPr>
        <sz val="11"/>
        <color theme="1"/>
        <rFont val="Calibri"/>
        <family val="2"/>
        <scheme val="minor"/>
      </rPr>
      <t>Target Files:Modify: checkupp-api/src/modules/wallet/wallet.service.ts
Ambiguity-Free Technical Specification:
Remove Local Disk Storage: Remove the local fs.writeFile and fs.unlink implementation inside uploadPendingFile and cleanupUploadedFile.
 Firebase Storage Initialization: Initialize firebase-admin/storage pointing explicitly to the Australian storage bucket region (e.g., process.env.FIREBASE_STORAGE_BUCKET initialized in australia-southeast1).
Upload Logic (US 6.1): In uploadPendingFile, stream the incoming fileBuffer directly into the Firebase Storage bucket with the correct mimeType and AES-256 encryption at rest. Return the secure public cloud URL.
Delete Logic (US 6.3, 7.4): In cleanupUploadedFile, call bucket.file(objectKey).delete() to physically wipe the file from the cloud bucket when the database record is deleted. Catch and suppress 404 errors if the file is already missing.
Audit Middleware Compliance: Ensure all uploads and deletions continue to pass through the controller-level tryCreateAuditLog wrapper to maintain immutable tracking.</t>
    </r>
  </si>
  <si>
    <r>
      <rPr>
        <b/>
        <sz val="11"/>
        <color theme="1"/>
        <rFont val="Calibri"/>
        <family val="2"/>
        <scheme val="minor"/>
      </rPr>
      <t>Implement useDocumentShare Hook for cross-platform native app sharing</t>
    </r>
    <r>
      <rPr>
        <sz val="11"/>
        <color theme="1"/>
        <rFont val="Calibri"/>
        <family val="2"/>
        <scheme val="minor"/>
      </rPr>
      <t xml:space="preserve">
Target Files:
Create: checkupp-mobile/hooks/useDocumentShare.ts
Ambiguity-Free Technical Specification:
Create a custom React hook returning { shareItem, isSharing }.
e-Script/Link Logic (US 7.3): If item.fileType === "link", immediately invoke React Native's Share.share({ message: ... ${item.file}, url: item.file }).
Document Logic (US 6.2): If item.fileType is image/file, invoke expo-file-system downloadAsync to temporarily cache the remote cloud URL locally to FileSystem.cacheDirectory. Pass the local URI to Sharing.shareAsync().
Implement error handling with a toast notification: showToast("Something went wrong, please try again", "error").</t>
    </r>
  </si>
  <si>
    <r>
      <rPr>
        <b/>
        <sz val="11"/>
        <color theme="1"/>
        <rFont val="Calibri"/>
        <family val="2"/>
        <scheme val="minor"/>
      </rPr>
      <t>Integrate Viewer Modals, Browser linking, and Delete Confirmation flows</t>
    </r>
    <r>
      <rPr>
        <sz val="11"/>
        <color theme="1"/>
        <rFont val="Calibri"/>
        <family val="2"/>
        <scheme val="minor"/>
      </rPr>
      <t xml:space="preserve">
Target Files: Modify: checkupp-mobile/app/(tabs)/wallet.tsx
Ambiguity-Free Technical Specification:
Wire the onView callback from the 3-dot menu. If the item is an image, set state to open the existing ImageViewer. If it is a PDF/Document, open the DocumentViewer. If it is an e-script link, invoke WebBrowser.openBrowserAsync().
Wire the onDelete callback. It must trigger Alert.alert("Are you sure you want to delete this file?") before calling deleteDocument.mutateAsync(id).
Ensure the UI updates to deleted card or triggers a refetch upon successful deletion.</t>
    </r>
  </si>
  <si>
    <r>
      <t>Frontend TDD Suite: UI, Sharing &amp; Caching</t>
    </r>
    <r>
      <rPr>
        <sz val="11"/>
        <color theme="1"/>
        <rFont val="Calibri"/>
        <family val="2"/>
        <scheme val="minor"/>
      </rPr>
      <t xml:space="preserve">
US 6.6 &amp; 7.5: Decluttered Card Layout (checkupp-mobile/tests/DocumentWallet/FileCard.test.tsx)
Success: Render the FileCard component. Assert that explicit standalone "View", "Download", and "Delete" text/buttons are completely absent from the DOM.
Success: Assert that the primary "Share" icon and the secondary "3-dot" kebab menu icon are rendered correctly on the card.
US 6.3, 6.5 &amp; 7.4: 3-Dot Action Menu (Alert/ActionSheet) (checkupp-mobile/tests/DocumentWallet/FileCard.test.tsx)
Success (Document): Simulate a press on the 3-dot menu for a document payload. Assert Alert.alert triggers with exactly four options: "View", "Download", "Delete", and "Cancel".
Success (Link): Simulate a press on the 3-dot menu for an e-script payload. Assert Alert.alert triggers with exactly three options: "Open", "Delete", and "Cancel".
Edge Case (Delete Cancellation): Trigger the "Delete" option, then press "Cancel" on the subsequent confirmation prompt. Assert the deleteDocument mutation is never fired.
US 6.2 &amp; 7.3: Cross-Platform Native Sharing (checkupp-mobile/tests/hooks/useDocumentShare.test.ts)
Success (Link): Simulate a press on the "Share" button for an e-script. Assert React Native's Share.share is invoked immediately with the text/URL payload.
Success (Document): Simulate a press on the "Share" button for a document. Assert a loading spinner renders. Assert FileSystem.downloadAsync is called with the remote Firebase URL. Assert Sharing.shareAsync is subsequently called with the resulting local URI.
Edge Case (Unsupported Device): Force the mocked Sharing.isAvailableAsync() to return false. Assert a Toast is displayed notifying the user that sharing is unavailable.
US 6.5: Download Document (checkupp-mobile/tests/hooks/useDocumentDownload.test.ts)
Success: Verify that pressing the Download button invokes FileSystem.downloadAsync to permanently save the file to local device storage.
Edge Case (Network Drop): Simulate a failure during FileSystem.downloadAsync. Assert the loading spinner reverts to the share icon and the "Something went wrong, please try again" error toast fires.
US 6.4 &amp; 7.2: Viewer Integrations (checkupp-mobile/tests/DocumentWallet/FileCard.test.tsx)
Success (Image): Simulate selecting "View" on an image document. Assert the ImageViewer modal becomes visible.
Success (PDF): Simulate selecting "View" on a PDF document. Assert the DocumentViewer modal becomes visible.
Success (Link): Simulate selecting "Open" on an e-script link. Assert WebBrowser.openBrowserAsync is called with the specific URL.</t>
    </r>
  </si>
  <si>
    <r>
      <t xml:space="preserve">Backend TDD Suite: Firebase Storage &amp; Links
</t>
    </r>
    <r>
      <rPr>
        <sz val="11"/>
        <color theme="1"/>
        <rFont val="Calibri"/>
        <family val="2"/>
        <scheme val="minor"/>
      </rPr>
      <t>Setup &amp; Teardown: (checkupp-api/tests/modules/wallet/wallet.test.ts)
Initialize the Jest test suite using supertest against the Express server.
Mock the firebase-admin/storage module to intercept bucket uploads and deletes.
Implement ruthless beforeEach and afterAll database purges to guarantee deterministic test runs.
US 6.1: Document Upload (Firebase Stream)
Success: Send a valid file buffer payload to POST /me/wallet/documents. Assert a 201 Created response. Assert the mocked Firebase bucket upload function is invoked and the database record correctly saves the fileType: FILE and public cloud URL.  
Edge Case (Missing Fields): Send a payload missing documentType. Assert the Joi gateway validation blocks it and returns a 400 Bad Request.  
Edge Case (Cloud Failure): Force the mocked Firebase upload to throw an error. Assert the API returns a graceful 500 without creating an orphaned database record.
US 7.1: e-Script Link Creation
Success: POST /me/wallet/links with a valid URL and title. Assert a 201 Created response and verify the database record saves fileType: LINK.  
Edge Case (Whitespace Validation): Send a URL containing only blank spaces. Assert Joi's .trim().min(1) intercepts the request and throws a 400 Bad Request.  
US 6.3 &amp; 7.4: Deletion &amp; Tenant Isolation
Success (Document): DELETE /me/wallet/documents/:id. Assert a 200 OK response. Assert the mocked Firebase bucket delete() method is called and the database record is removed.
Success (Link): DELETE /me/wallet/documents/:id (targeting a link). Assert the database record is removed but the Firebase bucket delete() method is not called.
Edge Case (Tenant Isolation): Attempt to delete a document ID using a different user's mocked JWT token. Assert a 404 Not Found to guarantee multi-tenant security scoping.
Audit Logging (All Modifications)
Success: Following a successful creation or deletion, query the test database to assert an immutable AuditLog row was created with the correct actorId, action, and timestamp.</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</si>
</sst>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8">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0" tint="-0.249977111117893"/>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2">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14" fontId="0" fillId="0" borderId="0" xfId="0" applyNumberFormat="1" applyAlignment="1">
      <alignment horizontal="center" vertical="center"/>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left" vertical="center" wrapText="1"/>
    </xf>
    <xf numFmtId="0" fontId="3" fillId="5" borderId="1" xfId="0"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75</c:v>
                </c:pt>
                <c:pt idx="1">
                  <c:v>75</c:v>
                </c:pt>
                <c:pt idx="2">
                  <c:v>75</c:v>
                </c:pt>
                <c:pt idx="3">
                  <c:v>75</c:v>
                </c:pt>
                <c:pt idx="4">
                  <c:v>75</c:v>
                </c:pt>
                <c:pt idx="5">
                  <c:v>75</c:v>
                </c:pt>
                <c:pt idx="6">
                  <c:v>75</c:v>
                </c:pt>
                <c:pt idx="7">
                  <c:v>75</c:v>
                </c:pt>
                <c:pt idx="8">
                  <c:v>75</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75</c:v>
                </c:pt>
                <c:pt idx="1">
                  <c:v>65.625</c:v>
                </c:pt>
                <c:pt idx="2">
                  <c:v>56.25</c:v>
                </c:pt>
                <c:pt idx="3">
                  <c:v>46.875</c:v>
                </c:pt>
                <c:pt idx="4">
                  <c:v>37.5</c:v>
                </c:pt>
                <c:pt idx="5">
                  <c:v>28.125</c:v>
                </c:pt>
                <c:pt idx="6">
                  <c:v>18.75</c:v>
                </c:pt>
                <c:pt idx="7">
                  <c:v>9.375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G24" sqref="G24"/>
    </sheetView>
  </sheetViews>
  <sheetFormatPr defaultColWidth="8.88671875" defaultRowHeight="14.4" x14ac:dyDescent="0.3"/>
  <cols>
    <col min="1" max="1" width="6.88671875" style="12" customWidth="1"/>
    <col min="2" max="2" width="14.33203125" style="12" customWidth="1"/>
    <col min="3" max="3" width="13.21875" style="12" bestFit="1" customWidth="1"/>
    <col min="4" max="4" width="17.6640625" style="12" bestFit="1" customWidth="1"/>
    <col min="5" max="5" width="13.5546875" style="12" bestFit="1" customWidth="1"/>
    <col min="6" max="6" width="52.6640625" style="13" customWidth="1"/>
    <col min="7" max="7" width="12.109375" style="12" bestFit="1" customWidth="1"/>
    <col min="8" max="8" width="12.88671875" style="12" bestFit="1" customWidth="1"/>
    <col min="9" max="9" width="11.33203125" style="12" bestFit="1" customWidth="1"/>
    <col min="10" max="10" width="6.77734375" style="12" bestFit="1" customWidth="1"/>
    <col min="11" max="11" width="15.5546875" style="12" bestFit="1" customWidth="1"/>
    <col min="12" max="12" width="10.44140625" style="12" bestFit="1" customWidth="1"/>
    <col min="13" max="16384" width="8.88671875" style="12"/>
  </cols>
  <sheetData>
    <row r="1" spans="1:12" s="11" customFormat="1" ht="30" customHeight="1" x14ac:dyDescent="0.3">
      <c r="A1" s="6" t="s">
        <v>11</v>
      </c>
      <c r="B1" s="6" t="s">
        <v>0</v>
      </c>
      <c r="C1" s="6" t="s">
        <v>1</v>
      </c>
      <c r="D1" s="6" t="s">
        <v>2</v>
      </c>
      <c r="E1" s="6" t="s">
        <v>10</v>
      </c>
      <c r="F1" s="6" t="s">
        <v>3</v>
      </c>
      <c r="G1" s="6" t="s">
        <v>4</v>
      </c>
      <c r="H1" s="6" t="s">
        <v>8</v>
      </c>
      <c r="I1" s="6" t="s">
        <v>9</v>
      </c>
      <c r="J1" s="6" t="s">
        <v>5</v>
      </c>
      <c r="K1" s="6" t="s">
        <v>6</v>
      </c>
      <c r="L1" s="6" t="s">
        <v>7</v>
      </c>
    </row>
    <row r="2" spans="1:12" ht="49.2" customHeight="1" x14ac:dyDescent="0.3">
      <c r="A2" s="8">
        <v>1</v>
      </c>
      <c r="B2" s="8" t="s">
        <v>26</v>
      </c>
      <c r="C2" s="8">
        <v>0.1</v>
      </c>
      <c r="D2" s="8" t="s">
        <v>33</v>
      </c>
      <c r="E2" s="8" t="s">
        <v>16</v>
      </c>
      <c r="F2" s="10" t="s">
        <v>17</v>
      </c>
      <c r="G2" s="8" t="s">
        <v>18</v>
      </c>
      <c r="H2" s="8" t="s">
        <v>19</v>
      </c>
      <c r="I2" s="8" cm="1">
        <f t="array" ref="I2">_xlfn.SWITCH(H2,"XS",1,"S",2,"M",3,"L",5,"XL",8,"XXL",13,"XXXL",21,"")</f>
        <v>1</v>
      </c>
      <c r="J2" s="8" t="s">
        <v>75</v>
      </c>
      <c r="K2" s="8"/>
      <c r="L2" s="8"/>
    </row>
    <row r="3" spans="1:12" ht="408.6" customHeight="1" x14ac:dyDescent="0.3">
      <c r="A3" s="8">
        <v>2</v>
      </c>
      <c r="B3" s="8" t="s">
        <v>25</v>
      </c>
      <c r="C3" s="8">
        <v>1.1000000000000001</v>
      </c>
      <c r="D3" s="8" t="s">
        <v>32</v>
      </c>
      <c r="E3" s="8" t="s">
        <v>20</v>
      </c>
      <c r="F3" s="10" t="s">
        <v>38</v>
      </c>
      <c r="G3" s="8" t="s">
        <v>21</v>
      </c>
      <c r="H3" s="8" t="s">
        <v>23</v>
      </c>
      <c r="I3" s="8" cm="1">
        <f t="array" ref="I3">_xlfn.SWITCH(H3,"XS",1,"S",2,"M",3,"L",5,"XL",8,"XXL",13,"XXXL",21,"")</f>
        <v>2</v>
      </c>
      <c r="J3" s="8" t="s">
        <v>75</v>
      </c>
      <c r="K3" s="8"/>
      <c r="L3" s="8"/>
    </row>
    <row r="4" spans="1:12" ht="408.6" customHeight="1" x14ac:dyDescent="0.3">
      <c r="A4" s="8">
        <v>3</v>
      </c>
      <c r="B4" s="8" t="s">
        <v>25</v>
      </c>
      <c r="C4" s="8" t="s">
        <v>43</v>
      </c>
      <c r="D4" s="8" t="s">
        <v>34</v>
      </c>
      <c r="E4" s="8" t="s">
        <v>22</v>
      </c>
      <c r="F4" s="10" t="s">
        <v>69</v>
      </c>
      <c r="G4" s="8" t="s">
        <v>24</v>
      </c>
      <c r="H4" s="8" t="s">
        <v>19</v>
      </c>
      <c r="I4" s="8" cm="1">
        <f t="array" ref="I4">_xlfn.SWITCH(H4,"XS",1,"S",2,"M",3,"L",5,"XL",8,"XXL",13,"XXXL",21,"")</f>
        <v>1</v>
      </c>
      <c r="J4" s="8" t="s">
        <v>75</v>
      </c>
      <c r="K4" s="8"/>
      <c r="L4" s="8"/>
    </row>
    <row r="5" spans="1:12" ht="408.6" customHeight="1" x14ac:dyDescent="0.3">
      <c r="A5" s="8">
        <v>4</v>
      </c>
      <c r="B5" s="8" t="s">
        <v>25</v>
      </c>
      <c r="C5" s="8" t="s">
        <v>43</v>
      </c>
      <c r="D5" s="8" t="s">
        <v>35</v>
      </c>
      <c r="E5" s="8" t="s">
        <v>22</v>
      </c>
      <c r="F5" s="10" t="s">
        <v>70</v>
      </c>
      <c r="G5" s="8" t="s">
        <v>24</v>
      </c>
      <c r="H5" s="8" t="s">
        <v>30</v>
      </c>
      <c r="I5" s="8" cm="1">
        <f t="array" ref="I5">_xlfn.SWITCH(H5,"XS",1,"S",2,"M",3,"L",5,"XL",8,"XXL",13,"XXXL",21,"")</f>
        <v>5</v>
      </c>
      <c r="J5" s="8" t="s">
        <v>75</v>
      </c>
      <c r="K5" s="8"/>
      <c r="L5" s="8"/>
    </row>
    <row r="6" spans="1:12" ht="409.6" x14ac:dyDescent="0.3">
      <c r="A6" s="8">
        <v>5</v>
      </c>
      <c r="B6" s="8"/>
      <c r="C6" s="8">
        <v>1.6</v>
      </c>
      <c r="D6" s="8"/>
      <c r="E6" s="8" t="s">
        <v>22</v>
      </c>
      <c r="F6" s="10" t="s">
        <v>71</v>
      </c>
      <c r="G6" s="8" t="s">
        <v>24</v>
      </c>
      <c r="H6" s="8" t="s">
        <v>30</v>
      </c>
      <c r="I6" s="8" cm="1">
        <f t="array" ref="I6">_xlfn.SWITCH(H6,"XS",1,"S",2,"M",3,"L",5,"XL",8,"XXL",13,"XXXL",21,"")</f>
        <v>5</v>
      </c>
      <c r="J6" s="8" t="s">
        <v>75</v>
      </c>
      <c r="K6" s="8"/>
      <c r="L6" s="8"/>
    </row>
    <row r="7" spans="1:12" ht="272.39999999999998" customHeight="1" x14ac:dyDescent="0.3">
      <c r="A7" s="8">
        <v>6</v>
      </c>
      <c r="B7" s="8" t="s">
        <v>25</v>
      </c>
      <c r="C7" s="8" t="s">
        <v>42</v>
      </c>
      <c r="D7" s="8" t="s">
        <v>36</v>
      </c>
      <c r="E7" s="8" t="s">
        <v>31</v>
      </c>
      <c r="F7" s="10" t="s">
        <v>44</v>
      </c>
      <c r="G7" s="8" t="s">
        <v>29</v>
      </c>
      <c r="H7" s="8" t="s">
        <v>27</v>
      </c>
      <c r="I7" s="8" cm="1">
        <f t="array" ref="I7">_xlfn.SWITCH(H7,"XS",1,"S",2,"M",3,"L",5,"XL",8,"XXL",13,"XXXL",21,"")</f>
        <v>3</v>
      </c>
      <c r="J7" s="8" t="s">
        <v>75</v>
      </c>
      <c r="K7" s="8"/>
      <c r="L7" s="8"/>
    </row>
    <row r="8" spans="1:12" ht="409.6" x14ac:dyDescent="0.3">
      <c r="A8" s="8">
        <v>7</v>
      </c>
      <c r="B8" s="8" t="s">
        <v>25</v>
      </c>
      <c r="C8" s="8" t="s">
        <v>41</v>
      </c>
      <c r="D8" s="8" t="s">
        <v>63</v>
      </c>
      <c r="E8" s="8" t="s">
        <v>20</v>
      </c>
      <c r="F8" s="10" t="s">
        <v>45</v>
      </c>
      <c r="G8" s="8" t="s">
        <v>24</v>
      </c>
      <c r="H8" s="8" t="s">
        <v>27</v>
      </c>
      <c r="I8" s="8" cm="1">
        <f t="array" ref="I8">_xlfn.SWITCH(H8,"XS",1,"S",2,"M",3,"L",5,"XL",8,"XXL",13,"XXXL",21,"")</f>
        <v>3</v>
      </c>
      <c r="J8" s="8" t="s">
        <v>75</v>
      </c>
      <c r="K8" s="8"/>
      <c r="L8" s="8"/>
    </row>
    <row r="9" spans="1:12" ht="409.6" x14ac:dyDescent="0.3">
      <c r="A9" s="8">
        <v>8</v>
      </c>
      <c r="B9" s="8" t="s">
        <v>25</v>
      </c>
      <c r="C9" s="8" t="s">
        <v>40</v>
      </c>
      <c r="D9" s="8" t="s">
        <v>28</v>
      </c>
      <c r="E9" s="8" t="s">
        <v>20</v>
      </c>
      <c r="F9" s="10" t="s">
        <v>68</v>
      </c>
      <c r="G9" s="8" t="s">
        <v>29</v>
      </c>
      <c r="H9" s="8" t="s">
        <v>23</v>
      </c>
      <c r="I9" s="8" cm="1">
        <f t="array" ref="I9">_xlfn.SWITCH(H9,"XS",1,"S",2,"M",3,"L",5,"XL",8,"XXL",13,"XXXL",21,"")</f>
        <v>2</v>
      </c>
      <c r="J9" s="8" t="s">
        <v>75</v>
      </c>
      <c r="K9" s="8"/>
      <c r="L9" s="8"/>
    </row>
    <row r="10" spans="1:12" ht="396" customHeight="1" x14ac:dyDescent="0.3">
      <c r="A10" s="8">
        <v>9</v>
      </c>
      <c r="B10" s="8" t="s">
        <v>25</v>
      </c>
      <c r="C10" s="8" t="s">
        <v>39</v>
      </c>
      <c r="D10" s="8" t="s">
        <v>28</v>
      </c>
      <c r="E10" s="8" t="s">
        <v>20</v>
      </c>
      <c r="F10" s="10" t="s">
        <v>46</v>
      </c>
      <c r="G10" s="8" t="s">
        <v>29</v>
      </c>
      <c r="H10" s="8" t="s">
        <v>27</v>
      </c>
      <c r="I10" s="8" cm="1">
        <f t="array" ref="I10">_xlfn.SWITCH(H10,"XS",1,"S",2,"M",3,"L",5,"XL",8,"XXL",13,"XXXL",21,"")</f>
        <v>3</v>
      </c>
      <c r="J10" s="8" t="s">
        <v>75</v>
      </c>
      <c r="K10" s="8"/>
      <c r="L10" s="8"/>
    </row>
    <row r="11" spans="1:12" ht="409.6" x14ac:dyDescent="0.3">
      <c r="A11" s="8">
        <v>10</v>
      </c>
      <c r="B11" s="8" t="s">
        <v>25</v>
      </c>
      <c r="C11" s="8" t="s">
        <v>47</v>
      </c>
      <c r="D11" s="8" t="s">
        <v>37</v>
      </c>
      <c r="E11" s="8" t="s">
        <v>20</v>
      </c>
      <c r="F11" s="10" t="s">
        <v>48</v>
      </c>
      <c r="G11" s="8" t="s">
        <v>29</v>
      </c>
      <c r="H11" s="8" t="s">
        <v>30</v>
      </c>
      <c r="I11" s="8" cm="1">
        <f t="array" ref="I11">_xlfn.SWITCH(H11,"XS",1,"S",2,"M",3,"L",5,"XL",8,"XXL",13,"XXXL",21,"")</f>
        <v>5</v>
      </c>
      <c r="J11" s="8" t="s">
        <v>75</v>
      </c>
      <c r="K11" s="8"/>
      <c r="L11" s="8"/>
    </row>
    <row r="12" spans="1:12" ht="408.6" customHeight="1" x14ac:dyDescent="0.3">
      <c r="A12" s="8">
        <v>11</v>
      </c>
      <c r="B12" s="8"/>
      <c r="C12" s="8" t="s">
        <v>49</v>
      </c>
      <c r="D12" s="8"/>
      <c r="E12" s="8" t="s">
        <v>20</v>
      </c>
      <c r="F12" s="10" t="s">
        <v>64</v>
      </c>
      <c r="G12" s="8" t="s">
        <v>21</v>
      </c>
      <c r="H12" s="8" t="s">
        <v>27</v>
      </c>
      <c r="I12" s="8" cm="1">
        <f t="array" ref="I12">_xlfn.SWITCH(H12,"XS",1,"S",2,"M",3,"L",5,"XL",8,"XXL",13,"XXXL",21,"")</f>
        <v>3</v>
      </c>
      <c r="J12" s="8" t="s">
        <v>75</v>
      </c>
      <c r="K12" s="8"/>
      <c r="L12" s="8"/>
    </row>
    <row r="13" spans="1:12" ht="302.39999999999998" x14ac:dyDescent="0.3">
      <c r="A13" s="8">
        <v>12</v>
      </c>
      <c r="B13" s="8"/>
      <c r="C13" s="8">
        <v>1.8</v>
      </c>
      <c r="D13" s="8"/>
      <c r="E13" s="8" t="s">
        <v>20</v>
      </c>
      <c r="F13" s="10" t="s">
        <v>50</v>
      </c>
      <c r="G13" s="8" t="s">
        <v>29</v>
      </c>
      <c r="H13" s="8" t="s">
        <v>23</v>
      </c>
      <c r="I13" s="8" cm="1">
        <f t="array" ref="I13">_xlfn.SWITCH(H13,"XS",1,"S",2,"M",3,"L",5,"XL",8,"XXL",13,"XXXL",21,"")</f>
        <v>2</v>
      </c>
      <c r="J13" s="8" t="s">
        <v>75</v>
      </c>
      <c r="K13" s="8"/>
      <c r="L13" s="8"/>
    </row>
    <row r="14" spans="1:12" ht="409.6" x14ac:dyDescent="0.3">
      <c r="A14" s="8">
        <v>13</v>
      </c>
      <c r="B14" s="8"/>
      <c r="C14" s="8" t="s">
        <v>52</v>
      </c>
      <c r="D14" s="8" t="s">
        <v>36</v>
      </c>
      <c r="E14" s="8" t="s">
        <v>31</v>
      </c>
      <c r="F14" s="10" t="s">
        <v>51</v>
      </c>
      <c r="G14" s="8" t="s">
        <v>29</v>
      </c>
      <c r="H14" s="8" t="s">
        <v>30</v>
      </c>
      <c r="I14" s="8" cm="1">
        <f t="array" ref="I14">_xlfn.SWITCH(H14,"XS",1,"S",2,"M",3,"L",5,"XL",8,"XXL",13,"XXXL",21,"")</f>
        <v>5</v>
      </c>
      <c r="J14" s="8" t="s">
        <v>75</v>
      </c>
      <c r="K14" s="8"/>
      <c r="L14" s="8"/>
    </row>
    <row r="15" spans="1:12" ht="409.6" x14ac:dyDescent="0.3">
      <c r="A15" s="8">
        <v>14</v>
      </c>
      <c r="B15" s="8"/>
      <c r="C15" s="8"/>
      <c r="D15" s="8" t="s">
        <v>54</v>
      </c>
      <c r="E15" s="8" t="s">
        <v>22</v>
      </c>
      <c r="F15" s="10" t="s">
        <v>72</v>
      </c>
      <c r="G15" s="8" t="s">
        <v>24</v>
      </c>
      <c r="H15" s="8" t="s">
        <v>27</v>
      </c>
      <c r="I15" s="8" cm="1">
        <f t="array" ref="I15">_xlfn.SWITCH(H15,"XS",1,"S",2,"M",3,"L",5,"XL",8,"XXL",13,"XXXL",21,"")</f>
        <v>3</v>
      </c>
      <c r="J15" s="8" t="s">
        <v>75</v>
      </c>
      <c r="K15" s="8" t="s">
        <v>61</v>
      </c>
      <c r="L15" s="8"/>
    </row>
    <row r="16" spans="1:12" ht="409.6" x14ac:dyDescent="0.3">
      <c r="A16" s="8">
        <v>15</v>
      </c>
      <c r="B16" s="8"/>
      <c r="C16" s="8"/>
      <c r="D16" s="8" t="s">
        <v>53</v>
      </c>
      <c r="E16" s="8" t="s">
        <v>22</v>
      </c>
      <c r="F16" s="10" t="s">
        <v>73</v>
      </c>
      <c r="G16" s="8" t="s">
        <v>24</v>
      </c>
      <c r="H16" s="8" t="s">
        <v>30</v>
      </c>
      <c r="I16" s="8" cm="1">
        <f t="array" ref="I16">_xlfn.SWITCH(H16,"XS",1,"S",2,"M",3,"L",5,"XL",8,"XXL",13,"XXXL",21,"")</f>
        <v>5</v>
      </c>
      <c r="J16" s="8" t="s">
        <v>75</v>
      </c>
      <c r="K16" s="8" t="s">
        <v>61</v>
      </c>
      <c r="L16" s="8"/>
    </row>
    <row r="17" spans="1:12" ht="409.6" x14ac:dyDescent="0.3">
      <c r="A17" s="8">
        <v>16</v>
      </c>
      <c r="B17" s="8"/>
      <c r="C17" s="8">
        <v>18.5</v>
      </c>
      <c r="D17" s="8"/>
      <c r="E17" s="8" t="s">
        <v>22</v>
      </c>
      <c r="F17" s="10" t="s">
        <v>74</v>
      </c>
      <c r="G17" s="8" t="s">
        <v>24</v>
      </c>
      <c r="H17" s="8" t="s">
        <v>30</v>
      </c>
      <c r="I17" s="8" cm="1">
        <f t="array" ref="I17">_xlfn.SWITCH(H17,"XS",1,"S",2,"M",3,"L",5,"XL",8,"XXL",13,"XXXL",21,"")</f>
        <v>5</v>
      </c>
      <c r="J17" s="8" t="s">
        <v>75</v>
      </c>
      <c r="K17" s="8" t="s">
        <v>61</v>
      </c>
      <c r="L17" s="8"/>
    </row>
    <row r="18" spans="1:12" ht="315.60000000000002" customHeight="1" x14ac:dyDescent="0.3">
      <c r="A18" s="8">
        <v>17</v>
      </c>
      <c r="B18" s="8"/>
      <c r="C18" s="8" t="s">
        <v>54</v>
      </c>
      <c r="D18" s="8"/>
      <c r="E18" s="8" t="s">
        <v>31</v>
      </c>
      <c r="F18" s="10" t="s">
        <v>55</v>
      </c>
      <c r="G18" s="8" t="s">
        <v>29</v>
      </c>
      <c r="H18" s="8" t="s">
        <v>27</v>
      </c>
      <c r="I18" s="8" cm="1">
        <f t="array" ref="I18">_xlfn.SWITCH(H18,"XS",1,"S",2,"M",3,"L",5,"XL",8,"XXL",13,"XXXL",21,"")</f>
        <v>3</v>
      </c>
      <c r="J18" s="8" t="s">
        <v>75</v>
      </c>
      <c r="K18" s="8"/>
      <c r="L18" s="8"/>
    </row>
    <row r="19" spans="1:12" ht="383.4" customHeight="1" x14ac:dyDescent="0.3">
      <c r="A19" s="8">
        <v>18</v>
      </c>
      <c r="B19" s="8"/>
      <c r="C19" s="8">
        <v>18.100000000000001</v>
      </c>
      <c r="D19" s="8"/>
      <c r="E19" s="8" t="s">
        <v>20</v>
      </c>
      <c r="F19" s="10" t="s">
        <v>56</v>
      </c>
      <c r="G19" s="8" t="s">
        <v>21</v>
      </c>
      <c r="H19" s="8" t="s">
        <v>23</v>
      </c>
      <c r="I19" s="8" cm="1">
        <f t="array" ref="I19">_xlfn.SWITCH(H19,"XS",1,"S",2,"M",3,"L",5,"XL",8,"XXL",13,"XXXL",21,"")</f>
        <v>2</v>
      </c>
      <c r="J19" s="8" t="s">
        <v>75</v>
      </c>
      <c r="K19" s="8"/>
      <c r="L19" s="8"/>
    </row>
    <row r="20" spans="1:12" ht="409.6" x14ac:dyDescent="0.3">
      <c r="A20" s="8">
        <v>19</v>
      </c>
      <c r="B20" s="8"/>
      <c r="C20" s="8">
        <v>18.2</v>
      </c>
      <c r="D20" s="8"/>
      <c r="E20" s="8" t="s">
        <v>20</v>
      </c>
      <c r="F20" s="10" t="s">
        <v>57</v>
      </c>
      <c r="G20" s="8" t="s">
        <v>21</v>
      </c>
      <c r="H20" s="8" t="s">
        <v>30</v>
      </c>
      <c r="I20" s="8" cm="1">
        <f t="array" ref="I20">_xlfn.SWITCH(H20,"XS",1,"S",2,"M",3,"L",5,"XL",8,"XXL",13,"XXXL",21,"")</f>
        <v>5</v>
      </c>
      <c r="J20" s="8" t="s">
        <v>75</v>
      </c>
      <c r="K20" s="8"/>
      <c r="L20" s="8"/>
    </row>
    <row r="21" spans="1:12" ht="360" x14ac:dyDescent="0.3">
      <c r="A21" s="8">
        <v>20</v>
      </c>
      <c r="B21" s="8"/>
      <c r="C21" s="8">
        <v>18.3</v>
      </c>
      <c r="D21" s="8"/>
      <c r="E21" s="8" t="s">
        <v>20</v>
      </c>
      <c r="F21" s="10" t="s">
        <v>60</v>
      </c>
      <c r="G21" s="8" t="s">
        <v>21</v>
      </c>
      <c r="H21" s="8" t="s">
        <v>27</v>
      </c>
      <c r="I21" s="8" cm="1">
        <f t="array" ref="I21">_xlfn.SWITCH(H21,"XS",1,"S",2,"M",3,"L",5,"XL",8,"XXL",13,"XXXL",21,"")</f>
        <v>3</v>
      </c>
      <c r="J21" s="8" t="s">
        <v>75</v>
      </c>
      <c r="K21" s="8"/>
      <c r="L21" s="8"/>
    </row>
    <row r="22" spans="1:12" ht="409.2" customHeight="1" x14ac:dyDescent="0.3">
      <c r="A22" s="8">
        <v>21</v>
      </c>
      <c r="B22" s="8"/>
      <c r="C22" s="8" t="s">
        <v>59</v>
      </c>
      <c r="D22" s="8"/>
      <c r="E22" s="8" t="s">
        <v>20</v>
      </c>
      <c r="F22" s="10" t="s">
        <v>65</v>
      </c>
      <c r="G22" s="8" t="s">
        <v>21</v>
      </c>
      <c r="H22" s="8" t="s">
        <v>27</v>
      </c>
      <c r="I22" s="8" cm="1">
        <f t="array" ref="I22">_xlfn.SWITCH(H22,"XS",1,"S",2,"M",3,"L",5,"XL",8,"XXL",13,"XXXL",21,"")</f>
        <v>3</v>
      </c>
      <c r="J22" s="8" t="s">
        <v>75</v>
      </c>
      <c r="K22" s="8"/>
      <c r="L22" s="8"/>
    </row>
    <row r="23" spans="1:12" ht="316.8" x14ac:dyDescent="0.3">
      <c r="A23" s="8">
        <v>22</v>
      </c>
      <c r="B23" s="8"/>
      <c r="C23" s="8">
        <v>18.399999999999999</v>
      </c>
      <c r="D23" s="8"/>
      <c r="E23" s="8" t="s">
        <v>20</v>
      </c>
      <c r="F23" s="10" t="s">
        <v>66</v>
      </c>
      <c r="G23" s="8" t="s">
        <v>21</v>
      </c>
      <c r="H23" s="8" t="s">
        <v>27</v>
      </c>
      <c r="I23" s="8" cm="1">
        <f t="array" ref="I23">_xlfn.SWITCH(H23,"XS",1,"S",2,"M",3,"L",5,"XL",8,"XXL",13,"XXXL",21,"")</f>
        <v>3</v>
      </c>
      <c r="J23" s="8" t="s">
        <v>75</v>
      </c>
      <c r="K23" s="8"/>
      <c r="L23" s="8"/>
    </row>
    <row r="24" spans="1:12" ht="403.2" x14ac:dyDescent="0.3">
      <c r="A24" s="8">
        <v>23</v>
      </c>
      <c r="B24" s="8"/>
      <c r="C24" s="8">
        <v>18.5</v>
      </c>
      <c r="D24" s="8"/>
      <c r="E24" s="8" t="s">
        <v>20</v>
      </c>
      <c r="F24" s="10" t="s">
        <v>67</v>
      </c>
      <c r="G24" s="8" t="s">
        <v>21</v>
      </c>
      <c r="H24" s="8" t="s">
        <v>30</v>
      </c>
      <c r="I24" s="8" cm="1">
        <f t="array" ref="I24">_xlfn.SWITCH(H24,"XS",1,"S",2,"M",3,"L",5,"XL",8,"XXL",13,"XXXL",21,"")</f>
        <v>5</v>
      </c>
      <c r="J24" s="8" t="s">
        <v>75</v>
      </c>
      <c r="K24" s="8"/>
      <c r="L24" s="8"/>
    </row>
    <row r="25" spans="1:12" ht="409.6" x14ac:dyDescent="0.3">
      <c r="A25" s="8">
        <v>24</v>
      </c>
      <c r="B25" s="8"/>
      <c r="C25" s="8" t="s">
        <v>54</v>
      </c>
      <c r="D25" s="8"/>
      <c r="E25" s="8" t="s">
        <v>31</v>
      </c>
      <c r="F25" s="10" t="s">
        <v>58</v>
      </c>
      <c r="G25" s="8" t="s">
        <v>29</v>
      </c>
      <c r="H25" s="8" t="s">
        <v>30</v>
      </c>
      <c r="I25" s="8" cm="1">
        <f t="array" ref="I25">_xlfn.SWITCH(H25,"XS",1,"S",2,"M",3,"L",5,"XL",8,"XXL",13,"XXXL",21,"")</f>
        <v>5</v>
      </c>
      <c r="J25" s="8" t="s">
        <v>75</v>
      </c>
      <c r="K25" s="8"/>
      <c r="L25" s="8"/>
    </row>
    <row r="26" spans="1:12" x14ac:dyDescent="0.3">
      <c r="A26" s="8"/>
      <c r="B26" s="8"/>
      <c r="C26" s="8"/>
      <c r="D26" s="8"/>
      <c r="E26" s="8"/>
      <c r="F26" s="10"/>
      <c r="G26" s="8"/>
      <c r="H26" s="8"/>
      <c r="I26" s="8" t="str" cm="1">
        <f t="array" ref="I26">_xlfn.SWITCH(H26,"XS",1,"S",2,"M",3,"L",5,"XL",8,"XXL",13,"XXXL",21,"")</f>
        <v/>
      </c>
      <c r="J26" s="8"/>
      <c r="K26" s="8"/>
      <c r="L26" s="8"/>
    </row>
    <row r="27" spans="1:12" x14ac:dyDescent="0.3">
      <c r="A27" s="8"/>
      <c r="B27" s="8"/>
      <c r="C27" s="8"/>
      <c r="D27" s="8"/>
      <c r="E27" s="8"/>
      <c r="F27" s="10"/>
      <c r="G27" s="8"/>
      <c r="H27" s="8"/>
      <c r="I27" s="8" t="str" cm="1">
        <f t="array" ref="I27">_xlfn.SWITCH(H27,"XS",1,"S",2,"M",3,"L",5,"XL",8,"XXL",13,"XXXL",21,"")</f>
        <v/>
      </c>
      <c r="J27" s="8"/>
      <c r="K27" s="8"/>
      <c r="L27" s="8"/>
    </row>
    <row r="28" spans="1:12" x14ac:dyDescent="0.3">
      <c r="A28" s="8"/>
      <c r="B28" s="8"/>
      <c r="C28" s="8"/>
      <c r="D28" s="8"/>
      <c r="E28" s="8"/>
      <c r="F28" s="10"/>
      <c r="G28" s="8"/>
      <c r="H28" s="8"/>
      <c r="I28" s="8" t="str" cm="1">
        <f t="array" ref="I28">_xlfn.SWITCH(H28,"XS",1,"S",2,"M",3,"L",5,"XL",8,"XXL",13,"XXXL",21,"")</f>
        <v/>
      </c>
      <c r="J28" s="8"/>
      <c r="K28" s="8"/>
      <c r="L28" s="8"/>
    </row>
    <row r="29" spans="1:12" x14ac:dyDescent="0.3">
      <c r="A29" s="8"/>
      <c r="B29" s="8"/>
      <c r="C29" s="8"/>
      <c r="D29" s="8"/>
      <c r="E29" s="8"/>
      <c r="F29" s="10"/>
      <c r="G29" s="8"/>
      <c r="H29" s="8"/>
      <c r="I29" s="8" t="str" cm="1">
        <f t="array" ref="I29">_xlfn.SWITCH(H29,"XS",1,"S",2,"M",3,"L",5,"XL",8,"XXL",13,"XXXL",21,"")</f>
        <v/>
      </c>
      <c r="J29" s="8"/>
      <c r="K29" s="8"/>
      <c r="L29" s="8"/>
    </row>
    <row r="30" spans="1:12" x14ac:dyDescent="0.3">
      <c r="A30" s="8"/>
      <c r="B30" s="8"/>
      <c r="C30" s="8"/>
      <c r="D30" s="8"/>
      <c r="E30" s="8"/>
      <c r="F30" s="10"/>
      <c r="G30" s="8"/>
      <c r="H30" s="8"/>
      <c r="I30" s="8" t="str" cm="1">
        <f t="array" ref="I30">_xlfn.SWITCH(H30,"XS",1,"S",2,"M",3,"L",5,"XL",8,"XXL",13,"XXXL",21,"")</f>
        <v/>
      </c>
      <c r="J30" s="8"/>
      <c r="K30" s="8"/>
      <c r="L30" s="8"/>
    </row>
    <row r="31" spans="1:12" x14ac:dyDescent="0.3">
      <c r="A31" s="8"/>
      <c r="B31" s="8"/>
      <c r="C31" s="8"/>
      <c r="D31" s="8"/>
      <c r="E31" s="8"/>
      <c r="F31" s="10"/>
      <c r="G31" s="8"/>
      <c r="H31" s="8"/>
      <c r="I31" s="8" t="str" cm="1">
        <f t="array" ref="I31">_xlfn.SWITCH(H31,"XS",1,"S",2,"M",3,"L",5,"XL",8,"XXL",13,"XXXL",21,"")</f>
        <v/>
      </c>
      <c r="J31" s="8"/>
      <c r="K31" s="8"/>
      <c r="L31" s="8"/>
    </row>
    <row r="32" spans="1:12" x14ac:dyDescent="0.3">
      <c r="A32" s="8"/>
      <c r="B32" s="8"/>
      <c r="C32" s="8"/>
      <c r="D32" s="8"/>
      <c r="E32" s="8"/>
      <c r="F32" s="10"/>
      <c r="G32" s="8"/>
      <c r="H32" s="8"/>
      <c r="I32" s="8" t="str" cm="1">
        <f t="array" ref="I32">_xlfn.SWITCH(H32,"XS",1,"S",2,"M",3,"L",5,"XL",8,"XXL",13,"XXXL",21,"")</f>
        <v/>
      </c>
      <c r="J32" s="8"/>
      <c r="K32" s="8"/>
      <c r="L32" s="8"/>
    </row>
    <row r="33" spans="1:12" x14ac:dyDescent="0.3">
      <c r="A33" s="8"/>
      <c r="B33" s="8"/>
      <c r="C33" s="8"/>
      <c r="D33" s="8"/>
      <c r="E33" s="8"/>
      <c r="F33" s="7"/>
      <c r="G33" s="8"/>
      <c r="H33" s="8"/>
      <c r="I33" s="8" t="str" cm="1">
        <f t="array" ref="I33">_xlfn.SWITCH(H33,"XS",1,"S",2,"M",3,"L",5,"XL",8,"XXL",13,"XXXL",21,"")</f>
        <v/>
      </c>
      <c r="J33" s="8"/>
      <c r="K33" s="8"/>
      <c r="L33" s="8"/>
    </row>
    <row r="34" spans="1:12" x14ac:dyDescent="0.3">
      <c r="A34" s="8"/>
      <c r="B34" s="8"/>
      <c r="C34" s="8"/>
      <c r="D34" s="8"/>
      <c r="E34" s="8"/>
      <c r="F34" s="9"/>
      <c r="G34" s="8"/>
      <c r="H34" s="8"/>
      <c r="I34" s="8" t="str" cm="1">
        <f t="array" ref="I34">_xlfn.SWITCH(H34,"XS",1,"S",2,"M",3,"L",5,"XL",8,"XXL",13,"XXXL",21,"")</f>
        <v/>
      </c>
      <c r="J34" s="8"/>
      <c r="K34" s="8"/>
      <c r="L34" s="8"/>
    </row>
    <row r="35" spans="1:12" x14ac:dyDescent="0.3">
      <c r="A35" s="8"/>
      <c r="B35" s="8"/>
      <c r="C35" s="8"/>
      <c r="D35" s="8"/>
      <c r="E35" s="8"/>
      <c r="F35" s="9"/>
      <c r="G35" s="8"/>
      <c r="H35" s="8"/>
      <c r="I35" s="8" t="str" cm="1">
        <f t="array" ref="I35">_xlfn.SWITCH(H35,"XS",1,"S",2,"M",3,"L",5,"XL",8,"XXL",13,"XXXL",21,"")</f>
        <v/>
      </c>
      <c r="J35" s="8"/>
      <c r="K35" s="8"/>
      <c r="L35" s="8"/>
    </row>
    <row r="36" spans="1:12" x14ac:dyDescent="0.3">
      <c r="A36" s="8"/>
      <c r="B36" s="8"/>
      <c r="C36" s="8"/>
      <c r="D36" s="8"/>
      <c r="E36" s="8"/>
      <c r="F36" s="9"/>
      <c r="G36" s="8"/>
      <c r="H36" s="8"/>
      <c r="I36" s="8" t="str" cm="1">
        <f t="array" ref="I36">_xlfn.SWITCH(H36,"XS",1,"S",2,"M",3,"L",5,"XL",8,"XXL",13,"XXXL",21,"")</f>
        <v/>
      </c>
      <c r="J36" s="8"/>
      <c r="K36" s="8"/>
      <c r="L36" s="8"/>
    </row>
    <row r="37" spans="1:12" x14ac:dyDescent="0.3">
      <c r="A37" s="8"/>
      <c r="B37" s="8"/>
      <c r="C37" s="8"/>
      <c r="D37" s="8"/>
      <c r="E37" s="8"/>
      <c r="F37" s="9"/>
      <c r="G37" s="8"/>
      <c r="H37" s="8"/>
      <c r="I37" s="8" t="str" cm="1">
        <f t="array" ref="I37">_xlfn.SWITCH(H37,"XS",1,"S",2,"M",3,"L",5,"XL",8,"XXL",13,"XXXL",21,"")</f>
        <v/>
      </c>
      <c r="J37" s="8"/>
      <c r="K37" s="8"/>
      <c r="L37" s="8"/>
    </row>
    <row r="38" spans="1:12" x14ac:dyDescent="0.3">
      <c r="A38" s="8"/>
      <c r="B38" s="8"/>
      <c r="C38" s="8"/>
      <c r="D38" s="8"/>
      <c r="E38" s="8"/>
      <c r="F38" s="9"/>
      <c r="G38" s="8"/>
      <c r="H38" s="8"/>
      <c r="I38" s="8" t="str" cm="1">
        <f t="array" ref="I38">_xlfn.SWITCH(H38,"XS",1,"S",2,"M",3,"L",5,"XL",8,"XXL",13,"XXXL",21,"")</f>
        <v/>
      </c>
      <c r="J38" s="8"/>
      <c r="K38" s="8"/>
      <c r="L38" s="8"/>
    </row>
    <row r="39" spans="1:12" x14ac:dyDescent="0.3">
      <c r="A39" s="8"/>
      <c r="B39" s="8"/>
      <c r="C39" s="8"/>
      <c r="D39" s="8"/>
      <c r="E39" s="8"/>
      <c r="F39" s="9"/>
      <c r="G39" s="8"/>
      <c r="H39" s="8"/>
      <c r="I39" s="8" t="str" cm="1">
        <f t="array" ref="I39">_xlfn.SWITCH(H39,"XS",1,"S",2,"M",3,"L",5,"XL",8,"XXL",13,"XXXL",21,"")</f>
        <v/>
      </c>
      <c r="J39" s="8"/>
      <c r="K39" s="8"/>
      <c r="L39" s="8"/>
    </row>
    <row r="40" spans="1:12" x14ac:dyDescent="0.3">
      <c r="A40" s="8"/>
      <c r="B40" s="8"/>
      <c r="C40" s="8"/>
      <c r="D40" s="8"/>
      <c r="E40" s="8"/>
      <c r="F40" s="9"/>
      <c r="G40" s="8"/>
      <c r="H40" s="8"/>
      <c r="I40" s="8" t="str" cm="1">
        <f t="array" ref="I40">_xlfn.SWITCH(H40,"XS",1,"S",2,"M",3,"L",5,"XL",8,"XXL",13,"XXXL",21,"")</f>
        <v/>
      </c>
      <c r="J40" s="8"/>
      <c r="K40" s="8"/>
      <c r="L40" s="8"/>
    </row>
    <row r="41" spans="1:12" x14ac:dyDescent="0.3">
      <c r="A41" s="8"/>
      <c r="B41" s="8"/>
      <c r="C41" s="8"/>
      <c r="D41" s="8"/>
      <c r="E41" s="8"/>
      <c r="F41" s="9"/>
      <c r="G41" s="8"/>
      <c r="H41" s="8"/>
      <c r="I41" s="8" t="str" cm="1">
        <f t="array" ref="I41">_xlfn.SWITCH(H41,"XS",1,"S",2,"M",3,"L",5,"XL",8,"XXL",13,"XXXL",21,"")</f>
        <v/>
      </c>
      <c r="J41" s="8"/>
      <c r="K41" s="8"/>
      <c r="L41" s="8"/>
    </row>
    <row r="42" spans="1:12" x14ac:dyDescent="0.3">
      <c r="A42" s="8"/>
      <c r="B42" s="8"/>
      <c r="C42" s="8"/>
      <c r="D42" s="8"/>
      <c r="E42" s="8"/>
      <c r="F42" s="9"/>
      <c r="G42" s="8"/>
      <c r="H42" s="8"/>
      <c r="I42" s="8" t="str" cm="1">
        <f t="array" ref="I42">_xlfn.SWITCH(H42,"XS",1,"S",2,"M",3,"L",5,"XL",8,"XXL",13,"XXXL",21,"")</f>
        <v/>
      </c>
      <c r="J42" s="8"/>
      <c r="K42" s="8"/>
      <c r="L42" s="8"/>
    </row>
    <row r="43" spans="1:12" x14ac:dyDescent="0.3">
      <c r="A43" s="8"/>
      <c r="B43" s="8"/>
      <c r="C43" s="8"/>
      <c r="D43" s="8"/>
      <c r="E43" s="8"/>
      <c r="F43" s="9"/>
      <c r="G43" s="8"/>
      <c r="H43" s="8"/>
      <c r="I43" s="8" t="str" cm="1">
        <f t="array" ref="I43">_xlfn.SWITCH(H43,"XS",1,"S",2,"M",3,"L",5,"XL",8,"XXL",13,"XXXL",21,"")</f>
        <v/>
      </c>
      <c r="J43" s="8"/>
      <c r="K43" s="8"/>
      <c r="L43" s="8"/>
    </row>
    <row r="44" spans="1:12" x14ac:dyDescent="0.3">
      <c r="A44" s="8"/>
      <c r="B44" s="8"/>
      <c r="C44" s="8"/>
      <c r="D44" s="8"/>
      <c r="E44" s="8"/>
      <c r="F44" s="9"/>
      <c r="G44" s="8"/>
      <c r="H44" s="8"/>
      <c r="I44" s="8" t="str" cm="1">
        <f t="array" ref="I44">_xlfn.SWITCH(H44,"XS",1,"S",2,"M",3,"L",5,"XL",8,"XXL",13,"XXXL",21,"")</f>
        <v/>
      </c>
      <c r="J44" s="8"/>
      <c r="K44" s="8"/>
      <c r="L44" s="8"/>
    </row>
    <row r="45" spans="1:12" x14ac:dyDescent="0.3">
      <c r="A45" s="8"/>
      <c r="B45" s="8"/>
      <c r="C45" s="8"/>
      <c r="D45" s="8"/>
      <c r="E45" s="8"/>
      <c r="F45" s="9"/>
      <c r="G45" s="8"/>
      <c r="H45" s="8"/>
      <c r="I45" s="8" t="str" cm="1">
        <f t="array" ref="I45">_xlfn.SWITCH(H45,"XS",1,"S",2,"M",3,"L",5,"XL",8,"XXL",13,"XXXL",21,"")</f>
        <v/>
      </c>
      <c r="J45" s="8"/>
      <c r="K45" s="8"/>
      <c r="L45" s="8"/>
    </row>
    <row r="46" spans="1:12" x14ac:dyDescent="0.3">
      <c r="A46" s="8"/>
      <c r="B46" s="8"/>
      <c r="C46" s="8"/>
      <c r="D46" s="8"/>
      <c r="E46" s="8"/>
      <c r="F46" s="9"/>
      <c r="G46" s="8"/>
      <c r="H46" s="8"/>
      <c r="I46" s="8" t="str" cm="1">
        <f t="array" ref="I46">_xlfn.SWITCH(H46,"XS",1,"S",2,"M",3,"L",5,"XL",8,"XXL",13,"XXXL",21,"")</f>
        <v/>
      </c>
      <c r="J46" s="8"/>
      <c r="K46" s="8"/>
      <c r="L46" s="8"/>
    </row>
    <row r="47" spans="1:12" x14ac:dyDescent="0.3">
      <c r="A47" s="8"/>
      <c r="B47" s="8"/>
      <c r="C47" s="8"/>
      <c r="D47" s="8"/>
      <c r="E47" s="8"/>
      <c r="F47" s="9"/>
      <c r="G47" s="8"/>
      <c r="H47" s="8"/>
      <c r="I47" s="8" t="str" cm="1">
        <f t="array" ref="I47">_xlfn.SWITCH(H47,"XS",1,"S",2,"M",3,"L",5,"XL",8,"XXL",13,"XXXL",21,"")</f>
        <v/>
      </c>
      <c r="J47" s="8"/>
      <c r="K47" s="8"/>
      <c r="L47" s="8"/>
    </row>
    <row r="48" spans="1:12" x14ac:dyDescent="0.3">
      <c r="A48" s="8"/>
      <c r="B48" s="8"/>
      <c r="C48" s="8"/>
      <c r="D48" s="8"/>
      <c r="E48" s="8"/>
      <c r="F48" s="9"/>
      <c r="G48" s="8"/>
      <c r="H48" s="8"/>
      <c r="I48" s="8" t="str" cm="1">
        <f t="array" ref="I48">_xlfn.SWITCH(H48,"XS",1,"S",2,"M",3,"L",5,"XL",8,"XXL",13,"XXXL",21,"")</f>
        <v/>
      </c>
      <c r="J48" s="8"/>
      <c r="K48" s="8"/>
      <c r="L48" s="8"/>
    </row>
    <row r="49" spans="1:12" x14ac:dyDescent="0.3">
      <c r="A49" s="8"/>
      <c r="B49" s="8"/>
      <c r="C49" s="8"/>
      <c r="D49" s="8"/>
      <c r="E49" s="8"/>
      <c r="F49" s="9"/>
      <c r="G49" s="8"/>
      <c r="H49" s="8"/>
      <c r="I49" s="8" t="str" cm="1">
        <f t="array" ref="I49">_xlfn.SWITCH(H49,"XS",1,"S",2,"M",3,"L",5,"XL",8,"XXL",13,"XXXL",21,"")</f>
        <v/>
      </c>
      <c r="J49" s="8"/>
      <c r="K49" s="8"/>
      <c r="L49" s="8"/>
    </row>
    <row r="50" spans="1:12" x14ac:dyDescent="0.3">
      <c r="A50" s="8"/>
      <c r="B50" s="8"/>
      <c r="C50" s="8"/>
      <c r="D50" s="8"/>
      <c r="E50" s="8"/>
      <c r="F50" s="9"/>
      <c r="G50" s="8"/>
      <c r="H50" s="8"/>
      <c r="I50" s="8" t="str" cm="1">
        <f t="array" ref="I50">_xlfn.SWITCH(H50,"XS",1,"S",2,"M",3,"L",5,"XL",8,"XXL",13,"XXXL",21,"")</f>
        <v/>
      </c>
      <c r="J50" s="8"/>
      <c r="K50" s="8"/>
      <c r="L50" s="8"/>
    </row>
    <row r="51" spans="1:12" x14ac:dyDescent="0.3">
      <c r="A51" s="8"/>
      <c r="B51" s="8"/>
      <c r="C51" s="8"/>
      <c r="D51" s="8"/>
      <c r="E51" s="8"/>
      <c r="F51" s="10"/>
      <c r="G51" s="8"/>
      <c r="H51" s="8"/>
      <c r="I51" s="8" t="str" cm="1">
        <f t="array" ref="I51">_xlfn.SWITCH(H51,"XS",1,"S",2,"M",3,"L",5,"XL",8,"XXL",13,"XXXL",21,"")</f>
        <v/>
      </c>
      <c r="J51" s="8"/>
      <c r="K51" s="8"/>
      <c r="L51" s="8"/>
    </row>
    <row r="52" spans="1:12" x14ac:dyDescent="0.3">
      <c r="A52" s="8"/>
      <c r="B52" s="8"/>
      <c r="C52" s="8"/>
      <c r="D52" s="8"/>
      <c r="E52" s="8"/>
      <c r="F52" s="10"/>
      <c r="G52" s="8"/>
      <c r="H52" s="8"/>
      <c r="I52" s="8" t="str" cm="1">
        <f t="array" ref="I52">_xlfn.SWITCH(H52,"XS",1,"S",2,"M",3,"L",5,"XL",8,"XXL",13,"XXXL",21,"")</f>
        <v/>
      </c>
      <c r="J52" s="8"/>
      <c r="K52" s="8"/>
      <c r="L52" s="8"/>
    </row>
    <row r="53" spans="1:12" x14ac:dyDescent="0.3">
      <c r="A53" s="8"/>
      <c r="B53" s="8"/>
      <c r="C53" s="8"/>
      <c r="D53" s="8"/>
      <c r="E53" s="8"/>
      <c r="F53" s="10"/>
      <c r="G53" s="8"/>
      <c r="H53" s="8"/>
      <c r="I53" s="8" t="str" cm="1">
        <f t="array" ref="I53">_xlfn.SWITCH(H53,"XS",1,"S",2,"M",3,"L",5,"XL",8,"XXL",13,"XXXL",21,"")</f>
        <v/>
      </c>
      <c r="J53" s="8"/>
      <c r="K53" s="8"/>
      <c r="L53" s="8"/>
    </row>
    <row r="54" spans="1:12" x14ac:dyDescent="0.3">
      <c r="A54" s="8"/>
      <c r="B54" s="8"/>
      <c r="C54" s="8"/>
      <c r="D54" s="8"/>
      <c r="E54" s="8"/>
      <c r="F54" s="10"/>
      <c r="G54" s="8"/>
      <c r="H54" s="8"/>
      <c r="I54" s="8" t="str" cm="1">
        <f t="array" ref="I54">_xlfn.SWITCH(H54,"XS",1,"S",2,"M",3,"L",5,"XL",8,"XXL",13,"XXXL",21,"")</f>
        <v/>
      </c>
      <c r="J54" s="8"/>
      <c r="K54" s="8"/>
      <c r="L54" s="8"/>
    </row>
    <row r="55" spans="1:12" x14ac:dyDescent="0.3">
      <c r="A55" s="8"/>
      <c r="B55" s="8"/>
      <c r="C55" s="8"/>
      <c r="D55" s="8"/>
      <c r="E55" s="8"/>
      <c r="F55" s="10"/>
      <c r="G55" s="8"/>
      <c r="H55" s="8"/>
      <c r="I55" s="8" t="str" cm="1">
        <f t="array" ref="I55">_xlfn.SWITCH(H55,"XS",1,"S",2,"M",3,"L",5,"XL",8,"XXL",13,"XXXL",21,"")</f>
        <v/>
      </c>
      <c r="J55" s="8"/>
      <c r="K55" s="8"/>
      <c r="L55" s="8"/>
    </row>
    <row r="56" spans="1:12" x14ac:dyDescent="0.3">
      <c r="A56" s="8"/>
      <c r="B56" s="8"/>
      <c r="C56" s="8"/>
      <c r="D56" s="8"/>
      <c r="E56" s="8"/>
      <c r="F56" s="10"/>
      <c r="G56" s="8"/>
      <c r="H56" s="8"/>
      <c r="I56" s="8" t="str" cm="1">
        <f t="array" ref="I56">_xlfn.SWITCH(H56,"XS",1,"S",2,"M",3,"L",5,"XL",8,"XXL",13,"XXXL",21,"")</f>
        <v/>
      </c>
      <c r="J56" s="8"/>
      <c r="K56" s="8"/>
      <c r="L56" s="8"/>
    </row>
    <row r="57" spans="1:12" x14ac:dyDescent="0.3">
      <c r="A57" s="8"/>
      <c r="B57" s="8"/>
      <c r="C57" s="8"/>
      <c r="D57" s="8"/>
      <c r="E57" s="8"/>
      <c r="F57" s="9"/>
      <c r="G57" s="8"/>
      <c r="H57" s="8"/>
      <c r="I57" s="8" t="str" cm="1">
        <f t="array" ref="I57">_xlfn.SWITCH(H57,"XS",1,"S",2,"M",3,"L",5,"XL",8,"XXL",13,"XXXL",21,"")</f>
        <v/>
      </c>
      <c r="J57" s="8"/>
      <c r="K57" s="8"/>
      <c r="L57" s="8"/>
    </row>
    <row r="58" spans="1:12" x14ac:dyDescent="0.3">
      <c r="A58" s="8"/>
      <c r="B58" s="8"/>
      <c r="C58" s="8"/>
      <c r="D58" s="8"/>
      <c r="E58" s="8"/>
      <c r="F58" s="9"/>
      <c r="G58" s="8"/>
      <c r="H58" s="8"/>
      <c r="I58" s="8" t="str" cm="1">
        <f t="array" ref="I58">_xlfn.SWITCH(H58,"XS",1,"S",2,"M",3,"L",5,"XL",8,"XXL",13,"XXXL",21,"")</f>
        <v/>
      </c>
      <c r="J58" s="8"/>
      <c r="K58" s="8"/>
      <c r="L58" s="8"/>
    </row>
    <row r="59" spans="1:12" x14ac:dyDescent="0.3">
      <c r="A59" s="8"/>
      <c r="B59" s="8"/>
      <c r="C59" s="8"/>
      <c r="D59" s="8"/>
      <c r="E59" s="8"/>
      <c r="F59" s="9"/>
      <c r="G59" s="8"/>
      <c r="H59" s="8"/>
      <c r="I59" s="8" t="str" cm="1">
        <f t="array" ref="I59">_xlfn.SWITCH(H59,"XS",1,"S",2,"M",3,"L",5,"XL",8,"XXL",13,"XXXL",21,"")</f>
        <v/>
      </c>
      <c r="J59" s="8"/>
      <c r="K59" s="8"/>
      <c r="L59" s="8"/>
    </row>
    <row r="60" spans="1:12" x14ac:dyDescent="0.3">
      <c r="A60" s="8"/>
      <c r="B60" s="8"/>
      <c r="C60" s="8"/>
      <c r="D60" s="8"/>
      <c r="E60" s="8"/>
      <c r="F60" s="9"/>
      <c r="G60" s="8"/>
      <c r="H60" s="8"/>
      <c r="I60" s="8" t="str" cm="1">
        <f t="array" ref="I60">_xlfn.SWITCH(H60,"XS",1,"S",2,"M",3,"L",5,"XL",8,"XXL",13,"XXXL",21,"")</f>
        <v/>
      </c>
      <c r="J60" s="8"/>
      <c r="K60" s="8"/>
      <c r="L60" s="8"/>
    </row>
    <row r="61" spans="1:12" x14ac:dyDescent="0.3">
      <c r="A61" s="8"/>
      <c r="B61" s="8"/>
      <c r="C61" s="8"/>
      <c r="D61" s="8"/>
      <c r="E61" s="8"/>
      <c r="F61" s="9"/>
      <c r="G61" s="8"/>
      <c r="H61" s="8"/>
      <c r="I61" s="8" t="str" cm="1">
        <f t="array" ref="I61">_xlfn.SWITCH(H61,"XS",1,"S",2,"M",3,"L",5,"XL",8,"XXL",13,"XXXL",21,"")</f>
        <v/>
      </c>
      <c r="J61" s="8"/>
      <c r="K61" s="8"/>
      <c r="L61" s="8"/>
    </row>
    <row r="62" spans="1:12" x14ac:dyDescent="0.3">
      <c r="A62" s="8"/>
      <c r="B62" s="8"/>
      <c r="C62" s="8"/>
      <c r="D62" s="8"/>
      <c r="E62" s="8"/>
      <c r="F62" s="9"/>
      <c r="G62" s="8"/>
      <c r="H62" s="8"/>
      <c r="I62" s="8" t="str" cm="1">
        <f t="array" ref="I62">_xlfn.SWITCH(H62,"XS",1,"S",2,"M",3,"L",5,"XL",8,"XXL",13,"XXXL",21,"")</f>
        <v/>
      </c>
      <c r="J62" s="8"/>
      <c r="K62" s="8"/>
      <c r="L62" s="8"/>
    </row>
    <row r="63" spans="1:12" x14ac:dyDescent="0.3">
      <c r="A63" s="8"/>
      <c r="B63" s="8"/>
      <c r="C63" s="8"/>
      <c r="D63" s="8"/>
      <c r="E63" s="8"/>
      <c r="F63" s="9"/>
      <c r="G63" s="8"/>
      <c r="H63" s="8"/>
      <c r="I63" s="8" t="str" cm="1">
        <f t="array" ref="I63">_xlfn.SWITCH(H63,"XS",1,"S",2,"M",3,"L",5,"XL",8,"XXL",13,"XXXL",21,"")</f>
        <v/>
      </c>
      <c r="J63" s="8"/>
      <c r="K63" s="8"/>
      <c r="L63" s="8"/>
    </row>
    <row r="64" spans="1:12" x14ac:dyDescent="0.3">
      <c r="A64" s="8"/>
      <c r="B64" s="8"/>
      <c r="C64" s="8"/>
      <c r="D64" s="8"/>
      <c r="E64" s="8"/>
      <c r="F64" s="9"/>
      <c r="G64" s="8"/>
      <c r="H64" s="8"/>
      <c r="I64" s="8" t="str" cm="1">
        <f t="array" ref="I64">_xlfn.SWITCH(H64,"XS",1,"S",2,"M",3,"L",5,"XL",8,"XXL",13,"XXXL",21,"")</f>
        <v/>
      </c>
      <c r="J64" s="8"/>
      <c r="K64" s="8"/>
      <c r="L64" s="8"/>
    </row>
    <row r="65" spans="1:12" x14ac:dyDescent="0.3">
      <c r="A65" s="8"/>
      <c r="B65" s="8"/>
      <c r="C65" s="8"/>
      <c r="D65" s="8"/>
      <c r="E65" s="8"/>
      <c r="F65" s="9"/>
      <c r="G65" s="8"/>
      <c r="H65" s="8"/>
      <c r="I65" s="8" t="str" cm="1">
        <f t="array" ref="I65">_xlfn.SWITCH(H65,"XS",1,"S",2,"M",3,"L",5,"XL",8,"XXL",13,"XXXL",21,"")</f>
        <v/>
      </c>
      <c r="J65" s="8"/>
      <c r="K65" s="8"/>
      <c r="L65" s="8"/>
    </row>
    <row r="66" spans="1:12" x14ac:dyDescent="0.3">
      <c r="A66" s="8"/>
      <c r="B66" s="8"/>
      <c r="C66" s="8"/>
      <c r="D66" s="8"/>
      <c r="E66" s="8"/>
      <c r="F66" s="9"/>
      <c r="G66" s="8"/>
      <c r="H66" s="8"/>
      <c r="I66" s="8" t="str" cm="1">
        <f t="array" ref="I66">_xlfn.SWITCH(H66,"XS",1,"S",2,"M",3,"L",5,"XL",8,"XXL",13,"XXXL",21,"")</f>
        <v/>
      </c>
      <c r="J66" s="8"/>
      <c r="K66" s="8"/>
      <c r="L66" s="8"/>
    </row>
    <row r="67" spans="1:12" x14ac:dyDescent="0.3">
      <c r="A67" s="8"/>
      <c r="B67" s="8"/>
      <c r="C67" s="8"/>
      <c r="D67" s="8"/>
      <c r="E67" s="8"/>
      <c r="F67" s="9"/>
      <c r="G67" s="8"/>
      <c r="H67" s="8"/>
      <c r="I67" s="8" t="str" cm="1">
        <f t="array" ref="I67">_xlfn.SWITCH(H67,"XS",1,"S",2,"M",3,"L",5,"XL",8,"XXL",13,"XXXL",21,"")</f>
        <v/>
      </c>
      <c r="J67" s="8"/>
      <c r="K67" s="8"/>
      <c r="L67" s="8"/>
    </row>
    <row r="68" spans="1:12" x14ac:dyDescent="0.3">
      <c r="A68" s="8"/>
      <c r="B68" s="8"/>
      <c r="C68" s="8"/>
      <c r="D68" s="8"/>
      <c r="E68" s="8"/>
      <c r="F68" s="7"/>
      <c r="G68" s="8"/>
      <c r="H68" s="8"/>
      <c r="I68" s="8" t="str" cm="1">
        <f t="array" ref="I68">_xlfn.SWITCH(H68,"XS",1,"S",2,"M",3,"L",5,"XL",8,"XXL",13,"XXXL",21,"")</f>
        <v/>
      </c>
      <c r="J68" s="8"/>
      <c r="K68" s="8"/>
      <c r="L68" s="8"/>
    </row>
    <row r="69" spans="1:12" x14ac:dyDescent="0.3">
      <c r="A69" s="8"/>
      <c r="B69" s="8"/>
      <c r="C69" s="8"/>
      <c r="D69" s="8"/>
      <c r="E69" s="8"/>
      <c r="F69" s="9"/>
      <c r="G69" s="8"/>
      <c r="H69" s="8"/>
      <c r="I69" s="8" t="str" cm="1">
        <f t="array" ref="I69">_xlfn.SWITCH(H69,"XS",1,"S",2,"M",3,"L",5,"XL",8,"XXL",13,"XXXL",21,"")</f>
        <v/>
      </c>
      <c r="J69" s="8"/>
      <c r="K69" s="8"/>
      <c r="L69" s="8"/>
    </row>
    <row r="70" spans="1:12" x14ac:dyDescent="0.3">
      <c r="A70" s="8"/>
      <c r="B70" s="8"/>
      <c r="C70" s="8"/>
      <c r="D70" s="8"/>
      <c r="E70" s="8"/>
      <c r="F70" s="7"/>
      <c r="G70" s="8"/>
      <c r="H70" s="8"/>
      <c r="I70" s="8" t="str" cm="1">
        <f t="array" ref="I70">_xlfn.SWITCH(H70,"XS",1,"S",2,"M",3,"L",5,"XL",8,"XXL",13,"XXXL",21,"")</f>
        <v/>
      </c>
      <c r="J70" s="8"/>
      <c r="K70" s="8"/>
      <c r="L70" s="8"/>
    </row>
    <row r="71" spans="1:12" x14ac:dyDescent="0.3">
      <c r="A71" s="8"/>
      <c r="B71" s="8"/>
      <c r="C71" s="8"/>
      <c r="D71" s="8"/>
      <c r="E71" s="8"/>
      <c r="F71" s="7"/>
      <c r="G71" s="8"/>
      <c r="H71" s="8"/>
      <c r="I71" s="8" t="str" cm="1">
        <f t="array" ref="I71">_xlfn.SWITCH(H71,"XS",1,"S",2,"M",3,"L",5,"XL",8,"XXL",13,"XXXL",21,"")</f>
        <v/>
      </c>
      <c r="J71" s="8"/>
      <c r="K71" s="8"/>
      <c r="L71" s="8"/>
    </row>
    <row r="72" spans="1:12" x14ac:dyDescent="0.3">
      <c r="A72" s="8"/>
      <c r="B72" s="8"/>
      <c r="C72" s="8"/>
      <c r="D72" s="8"/>
      <c r="E72" s="8"/>
      <c r="F72" s="9"/>
      <c r="G72" s="8"/>
      <c r="H72" s="8"/>
      <c r="I72" s="8" t="str" cm="1">
        <f t="array" ref="I72">_xlfn.SWITCH(H72,"XS",1,"S",2,"M",3,"L",5,"XL",8,"XXL",13,"XXXL",21,"")</f>
        <v/>
      </c>
      <c r="J72" s="8"/>
      <c r="K72" s="8"/>
      <c r="L72" s="8"/>
    </row>
    <row r="73" spans="1:12" x14ac:dyDescent="0.3">
      <c r="A73" s="8"/>
      <c r="B73" s="8"/>
      <c r="C73" s="8"/>
      <c r="D73" s="8"/>
      <c r="E73" s="8"/>
      <c r="F73" s="9"/>
      <c r="G73" s="8"/>
      <c r="H73" s="8"/>
      <c r="I73" s="8" t="str" cm="1">
        <f t="array" ref="I73">_xlfn.SWITCH(H73,"XS",1,"S",2,"M",3,"L",5,"XL",8,"XXL",13,"XXXL",21,"")</f>
        <v/>
      </c>
      <c r="J73" s="8"/>
      <c r="K73" s="8"/>
      <c r="L73" s="8"/>
    </row>
    <row r="74" spans="1:12" x14ac:dyDescent="0.3">
      <c r="A74" s="8"/>
      <c r="B74" s="8"/>
      <c r="C74" s="8"/>
      <c r="D74" s="8"/>
      <c r="E74" s="8"/>
      <c r="F74" s="9"/>
      <c r="G74" s="8"/>
      <c r="H74" s="8"/>
      <c r="I74" s="8" t="str" cm="1">
        <f t="array" ref="I74">_xlfn.SWITCH(H74,"XS",1,"S",2,"M",3,"L",5,"XL",8,"XXL",13,"XXXL",21,"")</f>
        <v/>
      </c>
      <c r="J74" s="8"/>
      <c r="K74" s="8"/>
      <c r="L74" s="8"/>
    </row>
    <row r="75" spans="1:12" x14ac:dyDescent="0.3">
      <c r="A75" s="8"/>
      <c r="B75" s="8"/>
      <c r="C75" s="8"/>
      <c r="D75" s="8"/>
      <c r="E75" s="8"/>
      <c r="F75" s="9"/>
      <c r="G75" s="8"/>
      <c r="H75" s="8"/>
      <c r="I75" s="8" t="str" cm="1">
        <f t="array" ref="I75">_xlfn.SWITCH(H75,"XS",1,"S",2,"M",3,"L",5,"XL",8,"XXL",13,"XXXL",21,"")</f>
        <v/>
      </c>
      <c r="J75" s="8"/>
      <c r="K75" s="8"/>
      <c r="L75" s="8"/>
    </row>
    <row r="76" spans="1:12" x14ac:dyDescent="0.3">
      <c r="A76" s="8"/>
      <c r="B76" s="8"/>
      <c r="C76" s="8"/>
      <c r="D76" s="8"/>
      <c r="E76" s="8"/>
      <c r="F76" s="9"/>
      <c r="G76" s="8"/>
      <c r="H76" s="8"/>
      <c r="I76" s="8" t="str" cm="1">
        <f t="array" ref="I76">_xlfn.SWITCH(H76,"XS",1,"S",2,"M",3,"L",5,"XL",8,"XXL",13,"XXXL",21,"")</f>
        <v/>
      </c>
      <c r="J76" s="8"/>
      <c r="K76" s="8"/>
      <c r="L76" s="8"/>
    </row>
    <row r="77" spans="1:12" x14ac:dyDescent="0.3">
      <c r="A77" s="8"/>
      <c r="B77" s="8"/>
      <c r="C77" s="8"/>
      <c r="D77" s="8"/>
      <c r="E77" s="8"/>
      <c r="F77" s="10"/>
      <c r="G77" s="8"/>
      <c r="H77" s="8"/>
      <c r="I77" s="8" t="str" cm="1">
        <f t="array" ref="I77">_xlfn.SWITCH(H77,"XS",1,"S",2,"M",3,"L",5,"XL",8,"XXL",13,"XXXL",21,"")</f>
        <v/>
      </c>
      <c r="J77" s="8"/>
      <c r="K77" s="8"/>
      <c r="L77" s="8"/>
    </row>
    <row r="78" spans="1:12" x14ac:dyDescent="0.3">
      <c r="A78" s="8"/>
      <c r="B78" s="8"/>
      <c r="C78" s="8"/>
      <c r="D78" s="8"/>
      <c r="E78" s="8"/>
      <c r="F78" s="10"/>
      <c r="G78" s="8"/>
      <c r="H78" s="8"/>
      <c r="I78" s="8" t="str" cm="1">
        <f t="array" ref="I78">_xlfn.SWITCH(H78,"XS",1,"S",2,"M",3,"L",5,"XL",8,"XXL",13,"XXXL",21,"")</f>
        <v/>
      </c>
      <c r="J78" s="8"/>
      <c r="K78" s="8"/>
      <c r="L78" s="8"/>
    </row>
    <row r="79" spans="1:12" x14ac:dyDescent="0.3">
      <c r="A79" s="8"/>
      <c r="B79" s="8"/>
      <c r="C79" s="8"/>
      <c r="D79" s="8"/>
      <c r="E79" s="8"/>
      <c r="F79" s="10"/>
      <c r="G79" s="8"/>
      <c r="H79" s="8"/>
      <c r="I79" s="8" t="str" cm="1">
        <f t="array" ref="I79">_xlfn.SWITCH(H79,"XS",1,"S",2,"M",3,"L",5,"XL",8,"XXL",13,"XXXL",21,"")</f>
        <v/>
      </c>
      <c r="J79" s="8"/>
      <c r="K79" s="8"/>
      <c r="L79" s="8"/>
    </row>
    <row r="80" spans="1:12" x14ac:dyDescent="0.3">
      <c r="A80" s="8"/>
      <c r="B80" s="8"/>
      <c r="C80" s="8"/>
      <c r="D80" s="8"/>
      <c r="E80" s="8"/>
      <c r="F80" s="10"/>
      <c r="G80" s="8"/>
      <c r="H80" s="8"/>
      <c r="I80" s="8" t="str" cm="1">
        <f t="array" ref="I80">_xlfn.SWITCH(H80,"XS",1,"S",2,"M",3,"L",5,"XL",8,"XXL",13,"XXXL",21,"")</f>
        <v/>
      </c>
      <c r="J80" s="8"/>
      <c r="K80" s="8"/>
      <c r="L80" s="8"/>
    </row>
    <row r="81" spans="1:12" x14ac:dyDescent="0.3">
      <c r="A81" s="8"/>
      <c r="B81" s="8"/>
      <c r="C81" s="8"/>
      <c r="D81" s="8"/>
      <c r="E81" s="8"/>
      <c r="F81" s="10"/>
      <c r="G81" s="8"/>
      <c r="H81" s="8"/>
      <c r="I81" s="8" t="str" cm="1">
        <f t="array" ref="I81">_xlfn.SWITCH(H81,"XS",1,"S",2,"M",3,"L",5,"XL",8,"XXL",13,"XXXL",21,"")</f>
        <v/>
      </c>
      <c r="J81" s="8"/>
      <c r="K81" s="8"/>
      <c r="L81" s="8"/>
    </row>
    <row r="82" spans="1:12" x14ac:dyDescent="0.3">
      <c r="A82" s="8"/>
      <c r="B82" s="8"/>
      <c r="C82" s="8"/>
      <c r="D82" s="8"/>
      <c r="E82" s="8"/>
      <c r="F82" s="10"/>
      <c r="G82" s="8"/>
      <c r="H82" s="8"/>
      <c r="I82" s="8" t="str" cm="1">
        <f t="array" ref="I82">_xlfn.SWITCH(H82,"XS",1,"S",2,"M",3,"L",5,"XL",8,"XXL",13,"XXXL",21,"")</f>
        <v/>
      </c>
      <c r="J82" s="8"/>
      <c r="K82" s="8"/>
      <c r="L82" s="8"/>
    </row>
    <row r="83" spans="1:12" x14ac:dyDescent="0.3">
      <c r="A83" s="8"/>
      <c r="B83" s="8"/>
      <c r="C83" s="8"/>
      <c r="D83" s="8"/>
      <c r="E83" s="8"/>
      <c r="F83" s="10"/>
      <c r="G83" s="8"/>
      <c r="H83" s="8"/>
      <c r="I83" s="8" t="str" cm="1">
        <f t="array" ref="I83">_xlfn.SWITCH(H83,"XS",1,"S",2,"M",3,"L",5,"XL",8,"XXL",13,"XXXL",21,"")</f>
        <v/>
      </c>
      <c r="J83" s="8"/>
      <c r="K83" s="8"/>
      <c r="L83" s="8"/>
    </row>
    <row r="84" spans="1:12" x14ac:dyDescent="0.3">
      <c r="A84" s="8"/>
      <c r="B84" s="8"/>
      <c r="C84" s="8"/>
      <c r="D84" s="8"/>
      <c r="E84" s="8"/>
      <c r="F84" s="10"/>
      <c r="G84" s="8"/>
      <c r="H84" s="8"/>
      <c r="I84" s="8" t="str" cm="1">
        <f t="array" ref="I84">_xlfn.SWITCH(H84,"XS",1,"S",2,"M",3,"L",5,"XL",8,"XXL",13,"XXXL",21,"")</f>
        <v/>
      </c>
      <c r="J84" s="8"/>
      <c r="K84" s="8"/>
      <c r="L84" s="8"/>
    </row>
    <row r="85" spans="1:12" x14ac:dyDescent="0.3">
      <c r="A85" s="8"/>
      <c r="B85" s="8"/>
      <c r="C85" s="8"/>
      <c r="D85" s="8"/>
      <c r="E85" s="8"/>
      <c r="F85" s="10"/>
      <c r="G85" s="8"/>
      <c r="H85" s="8"/>
      <c r="I85" s="8" t="str" cm="1">
        <f t="array" ref="I85">_xlfn.SWITCH(H85,"XS",1,"S",2,"M",3,"L",5,"XL",8,"XXL",13,"XXXL",21,"")</f>
        <v/>
      </c>
      <c r="J85" s="8"/>
      <c r="K85" s="8"/>
      <c r="L85" s="8"/>
    </row>
    <row r="86" spans="1:12" x14ac:dyDescent="0.3">
      <c r="A86" s="8"/>
      <c r="B86" s="8"/>
      <c r="C86" s="8"/>
      <c r="D86" s="8"/>
      <c r="E86" s="8"/>
      <c r="F86" s="10"/>
      <c r="G86" s="8"/>
      <c r="H86" s="8"/>
      <c r="I86" s="8" t="str" cm="1">
        <f t="array" ref="I86">_xlfn.SWITCH(H86,"XS",1,"S",2,"M",3,"L",5,"XL",8,"XXL",13,"XXXL",21,"")</f>
        <v/>
      </c>
      <c r="J86" s="8"/>
      <c r="K86" s="8"/>
      <c r="L86" s="8"/>
    </row>
    <row r="87" spans="1:12" x14ac:dyDescent="0.3">
      <c r="A87" s="8"/>
      <c r="B87" s="8"/>
      <c r="C87" s="8"/>
      <c r="D87" s="8"/>
      <c r="E87" s="8"/>
      <c r="F87" s="10"/>
      <c r="G87" s="8"/>
      <c r="H87" s="8"/>
      <c r="I87" s="8" t="str" cm="1">
        <f t="array" ref="I87">_xlfn.SWITCH(H87,"XS",1,"S",2,"M",3,"L",5,"XL",8,"XXL",13,"XXXL",21,"")</f>
        <v/>
      </c>
      <c r="J87" s="8"/>
      <c r="K87" s="8"/>
      <c r="L87" s="8"/>
    </row>
    <row r="88" spans="1:12" x14ac:dyDescent="0.3">
      <c r="A88" s="8"/>
      <c r="B88" s="8"/>
      <c r="C88" s="8"/>
      <c r="D88" s="8"/>
      <c r="E88" s="8"/>
      <c r="F88" s="10"/>
      <c r="G88" s="8"/>
      <c r="H88" s="8"/>
      <c r="I88" s="8" t="str" cm="1">
        <f t="array" ref="I88">_xlfn.SWITCH(H88,"XS",1,"S",2,"M",3,"L",5,"XL",8,"XXL",13,"XXXL",21,"")</f>
        <v/>
      </c>
      <c r="J88" s="8"/>
      <c r="K88" s="8"/>
      <c r="L88" s="8"/>
    </row>
    <row r="89" spans="1:12" x14ac:dyDescent="0.3">
      <c r="A89" s="8"/>
      <c r="B89" s="8"/>
      <c r="C89" s="8"/>
      <c r="D89" s="8"/>
      <c r="E89" s="8"/>
      <c r="F89" s="10"/>
      <c r="G89" s="8"/>
      <c r="H89" s="8"/>
      <c r="I89" s="8" t="str" cm="1">
        <f t="array" ref="I89">_xlfn.SWITCH(H89,"XS",1,"S",2,"M",3,"L",5,"XL",8,"XXL",13,"XXXL",21,"")</f>
        <v/>
      </c>
      <c r="J89" s="8"/>
      <c r="K89" s="8"/>
      <c r="L89" s="8"/>
    </row>
    <row r="90" spans="1:12" x14ac:dyDescent="0.3">
      <c r="A90" s="8"/>
      <c r="B90" s="8"/>
      <c r="C90" s="8"/>
      <c r="D90" s="8"/>
      <c r="E90" s="8"/>
      <c r="F90" s="10"/>
      <c r="G90" s="8"/>
      <c r="H90" s="8"/>
      <c r="I90" s="8" t="str" cm="1">
        <f t="array" ref="I90">_xlfn.SWITCH(H90,"XS",1,"S",2,"M",3,"L",5,"XL",8,"XXL",13,"XXXL",21,"")</f>
        <v/>
      </c>
      <c r="J90" s="8"/>
      <c r="K90" s="8"/>
      <c r="L90" s="8"/>
    </row>
    <row r="91" spans="1:12" x14ac:dyDescent="0.3">
      <c r="A91" s="8"/>
      <c r="B91" s="8"/>
      <c r="C91" s="8"/>
      <c r="D91" s="8"/>
      <c r="E91" s="8"/>
      <c r="F91" s="10"/>
      <c r="G91" s="8"/>
      <c r="H91" s="8"/>
      <c r="I91" s="8" t="str" cm="1">
        <f t="array" ref="I91">_xlfn.SWITCH(H91,"XS",1,"S",2,"M",3,"L",5,"XL",8,"XXL",13,"XXXL",21,"")</f>
        <v/>
      </c>
      <c r="J91" s="8"/>
      <c r="K91" s="8"/>
      <c r="L91" s="8"/>
    </row>
    <row r="92" spans="1:12" x14ac:dyDescent="0.3">
      <c r="A92" s="8"/>
      <c r="B92" s="8"/>
      <c r="C92" s="8"/>
      <c r="D92" s="8"/>
      <c r="E92" s="8"/>
      <c r="F92" s="10"/>
      <c r="G92" s="8"/>
      <c r="H92" s="8"/>
      <c r="I92" s="8" t="str" cm="1">
        <f t="array" ref="I92">_xlfn.SWITCH(H92,"XS",1,"S",2,"M",3,"L",5,"XL",8,"XXL",13,"XXXL",21,"")</f>
        <v/>
      </c>
      <c r="J92" s="8"/>
      <c r="K92" s="8"/>
      <c r="L92" s="8"/>
    </row>
    <row r="93" spans="1:12" x14ac:dyDescent="0.3">
      <c r="A93" s="8"/>
      <c r="B93" s="8"/>
      <c r="C93" s="8"/>
      <c r="D93" s="8"/>
      <c r="E93" s="8"/>
      <c r="F93" s="10"/>
      <c r="G93" s="8"/>
      <c r="H93" s="8"/>
      <c r="I93" s="8" t="str" cm="1">
        <f t="array" ref="I93">_xlfn.SWITCH(H93,"XS",1,"S",2,"M",3,"L",5,"XL",8,"XXL",13,"XXXL",21,"")</f>
        <v/>
      </c>
      <c r="J93" s="8"/>
      <c r="K93" s="8"/>
      <c r="L93" s="8"/>
    </row>
    <row r="94" spans="1:12" x14ac:dyDescent="0.3">
      <c r="A94" s="8"/>
      <c r="B94" s="8"/>
      <c r="C94" s="8"/>
      <c r="D94" s="8"/>
      <c r="E94" s="8"/>
      <c r="F94" s="10"/>
      <c r="G94" s="8"/>
      <c r="H94" s="8"/>
      <c r="I94" s="8" t="str" cm="1">
        <f t="array" ref="I94">_xlfn.SWITCH(H94,"XS",1,"S",2,"M",3,"L",5,"XL",8,"XXL",13,"XXXL",21,"")</f>
        <v/>
      </c>
      <c r="J94" s="8"/>
      <c r="K94" s="8"/>
      <c r="L94" s="8"/>
    </row>
    <row r="95" spans="1:12" x14ac:dyDescent="0.3">
      <c r="A95" s="8"/>
      <c r="B95" s="8"/>
      <c r="C95" s="8"/>
      <c r="D95" s="8"/>
      <c r="E95" s="8"/>
      <c r="F95" s="10"/>
      <c r="G95" s="8"/>
      <c r="H95" s="8"/>
      <c r="I95" s="8" t="str" cm="1">
        <f t="array" ref="I95">_xlfn.SWITCH(H95,"XS",1,"S",2,"M",3,"L",5,"XL",8,"XXL",13,"XXXL",21,"")</f>
        <v/>
      </c>
      <c r="J95" s="8"/>
      <c r="K95" s="8"/>
      <c r="L95" s="8"/>
    </row>
    <row r="96" spans="1:12" x14ac:dyDescent="0.3">
      <c r="A96" s="8"/>
      <c r="B96" s="8"/>
      <c r="C96" s="8"/>
      <c r="D96" s="8"/>
      <c r="E96" s="8"/>
      <c r="F96" s="10"/>
      <c r="G96" s="8"/>
      <c r="H96" s="8"/>
      <c r="I96" s="8" t="str" cm="1">
        <f t="array" ref="I96">_xlfn.SWITCH(H96,"XS",1,"S",2,"M",3,"L",5,"XL",8,"XXL",13,"XXXL",21,"")</f>
        <v/>
      </c>
      <c r="J96" s="8"/>
      <c r="K96" s="8"/>
      <c r="L96" s="8"/>
    </row>
    <row r="97" spans="1:12" x14ac:dyDescent="0.3">
      <c r="A97" s="8"/>
      <c r="B97" s="8"/>
      <c r="C97" s="8"/>
      <c r="D97" s="8"/>
      <c r="E97" s="8"/>
      <c r="F97" s="10"/>
      <c r="G97" s="8"/>
      <c r="H97" s="8"/>
      <c r="I97" s="8" t="str" cm="1">
        <f t="array" ref="I97">_xlfn.SWITCH(H97,"XS",1,"S",2,"M",3,"L",5,"XL",8,"XXL",13,"XXXL",21,"")</f>
        <v/>
      </c>
      <c r="J97" s="8"/>
      <c r="K97" s="8"/>
      <c r="L97" s="8"/>
    </row>
    <row r="98" spans="1:12" x14ac:dyDescent="0.3">
      <c r="A98" s="8"/>
      <c r="B98" s="8"/>
      <c r="C98" s="8"/>
      <c r="D98" s="8"/>
      <c r="E98" s="8"/>
      <c r="F98" s="10"/>
      <c r="G98" s="8"/>
      <c r="H98" s="8"/>
      <c r="I98" s="8" t="str" cm="1">
        <f t="array" ref="I98">_xlfn.SWITCH(H98,"XS",1,"S",2,"M",3,"L",5,"XL",8,"XXL",13,"XXXL",21,"")</f>
        <v/>
      </c>
      <c r="J98" s="8"/>
      <c r="K98" s="8"/>
      <c r="L98" s="8"/>
    </row>
    <row r="99" spans="1:12" x14ac:dyDescent="0.3">
      <c r="A99" s="8"/>
      <c r="B99" s="8"/>
      <c r="C99" s="8"/>
      <c r="D99" s="8"/>
      <c r="E99" s="8"/>
      <c r="F99" s="10"/>
      <c r="G99" s="8"/>
      <c r="H99" s="8"/>
      <c r="I99" s="8" t="str" cm="1">
        <f t="array" ref="I99">_xlfn.SWITCH(H99,"XS",1,"S",2,"M",3,"L",5,"XL",8,"XXL",13,"XXXL",21,"")</f>
        <v/>
      </c>
      <c r="J99" s="8"/>
      <c r="K99" s="8"/>
      <c r="L99" s="8"/>
    </row>
    <row r="100" spans="1:12" x14ac:dyDescent="0.3">
      <c r="A100" s="8"/>
      <c r="B100" s="8"/>
      <c r="C100" s="8"/>
      <c r="D100" s="8"/>
      <c r="E100" s="8"/>
      <c r="F100" s="10"/>
      <c r="G100" s="8"/>
      <c r="H100" s="8"/>
      <c r="I100" s="8" t="str" cm="1">
        <f t="array" ref="I100">_xlfn.SWITCH(H100,"XS",1,"S",2,"M",3,"L",5,"XL",8,"XXL",13,"XXXL",21,"")</f>
        <v/>
      </c>
      <c r="J100" s="8"/>
      <c r="K100" s="8"/>
      <c r="L100" s="8"/>
    </row>
    <row r="101" spans="1:12" x14ac:dyDescent="0.3">
      <c r="A101" s="8"/>
      <c r="B101" s="8"/>
      <c r="C101" s="8"/>
      <c r="D101" s="8"/>
      <c r="E101" s="8"/>
      <c r="F101" s="10"/>
      <c r="G101" s="8"/>
      <c r="H101" s="8"/>
      <c r="I101" s="8" t="str" cm="1">
        <f t="array" ref="I101">_xlfn.SWITCH(H101,"XS",1,"S",2,"M",3,"L",5,"XL",8,"XXL",13,"XXXL",21,"")</f>
        <v/>
      </c>
      <c r="J101" s="8"/>
      <c r="K101" s="8"/>
      <c r="L101" s="8"/>
    </row>
    <row r="102" spans="1:12" x14ac:dyDescent="0.3">
      <c r="A102" s="8"/>
      <c r="B102" s="8"/>
      <c r="C102" s="8"/>
      <c r="D102" s="8"/>
      <c r="E102" s="8"/>
      <c r="F102" s="10"/>
      <c r="G102" s="8"/>
      <c r="H102" s="8"/>
      <c r="I102" s="8" t="str" cm="1">
        <f t="array" ref="I102">_xlfn.SWITCH(H102,"XS",1,"S",2,"M",3,"L",5,"XL",8,"XXL",13,"XXXL",21,"")</f>
        <v/>
      </c>
      <c r="J102" s="8"/>
      <c r="K102" s="8"/>
      <c r="L102" s="8"/>
    </row>
    <row r="103" spans="1:12" x14ac:dyDescent="0.3">
      <c r="A103" s="8"/>
      <c r="B103" s="8"/>
      <c r="C103" s="8"/>
      <c r="D103" s="8"/>
      <c r="E103" s="8"/>
      <c r="F103" s="10"/>
      <c r="G103" s="8"/>
      <c r="H103" s="8"/>
      <c r="I103" s="8" t="str" cm="1">
        <f t="array" ref="I103">_xlfn.SWITCH(H103,"XS",1,"S",2,"M",3,"L",5,"XL",8,"XXL",13,"XXXL",21,"")</f>
        <v/>
      </c>
      <c r="J103" s="8"/>
      <c r="K103" s="8"/>
      <c r="L103" s="8"/>
    </row>
    <row r="104" spans="1:12" x14ac:dyDescent="0.3">
      <c r="A104" s="8"/>
      <c r="B104" s="8"/>
      <c r="C104" s="8"/>
      <c r="D104" s="8"/>
      <c r="E104" s="8"/>
      <c r="F104" s="10"/>
      <c r="G104" s="8"/>
      <c r="H104" s="8"/>
      <c r="I104" s="8" t="str" cm="1">
        <f t="array" ref="I104">_xlfn.SWITCH(H104,"XS",1,"S",2,"M",3,"L",5,"XL",8,"XXL",13,"XXXL",21,"")</f>
        <v/>
      </c>
      <c r="J104" s="8"/>
      <c r="K104" s="8"/>
      <c r="L104" s="8"/>
    </row>
    <row r="105" spans="1:12" x14ac:dyDescent="0.3">
      <c r="A105" s="8"/>
      <c r="B105" s="8"/>
      <c r="C105" s="8"/>
      <c r="D105" s="8"/>
      <c r="E105" s="8"/>
      <c r="F105" s="10"/>
      <c r="G105" s="8"/>
      <c r="H105" s="8"/>
      <c r="I105" s="8" t="str" cm="1">
        <f t="array" ref="I105">_xlfn.SWITCH(H105,"XS",1,"S",2,"M",3,"L",5,"XL",8,"XXL",13,"XXXL",21,"")</f>
        <v/>
      </c>
      <c r="J105" s="8"/>
      <c r="K105" s="8"/>
      <c r="L105" s="8"/>
    </row>
    <row r="106" spans="1:12" x14ac:dyDescent="0.3">
      <c r="A106" s="8"/>
      <c r="B106" s="8"/>
      <c r="C106" s="8"/>
      <c r="D106" s="8"/>
      <c r="E106" s="8"/>
      <c r="F106" s="10"/>
      <c r="G106" s="8"/>
      <c r="H106" s="8"/>
      <c r="I106" s="8" t="str" cm="1">
        <f t="array" ref="I106">_xlfn.SWITCH(H106,"XS",1,"S",2,"M",3,"L",5,"XL",8,"XXL",13,"XXXL",21,"")</f>
        <v/>
      </c>
      <c r="J106" s="8"/>
      <c r="K106" s="8"/>
      <c r="L106" s="8"/>
    </row>
    <row r="107" spans="1:12" x14ac:dyDescent="0.3">
      <c r="A107" s="8"/>
      <c r="B107" s="8"/>
      <c r="C107" s="8"/>
      <c r="D107" s="8"/>
      <c r="E107" s="8"/>
      <c r="F107" s="10"/>
      <c r="G107" s="8"/>
      <c r="H107" s="8"/>
      <c r="I107" s="8" t="str" cm="1">
        <f t="array" ref="I107">_xlfn.SWITCH(H107,"XS",1,"S",2,"M",3,"L",5,"XL",8,"XXL",13,"XXXL",21,"")</f>
        <v/>
      </c>
      <c r="J107" s="8"/>
      <c r="K107" s="8"/>
      <c r="L107" s="8"/>
    </row>
    <row r="108" spans="1:12" x14ac:dyDescent="0.3">
      <c r="A108" s="8"/>
      <c r="B108" s="8"/>
      <c r="C108" s="8"/>
      <c r="D108" s="8"/>
      <c r="E108" s="8"/>
      <c r="F108" s="10"/>
      <c r="G108" s="8"/>
      <c r="H108" s="8"/>
      <c r="I108" s="8" t="str" cm="1">
        <f t="array" ref="I108">_xlfn.SWITCH(H108,"XS",1,"S",2,"M",3,"L",5,"XL",8,"XXL",13,"XXXL",21,"")</f>
        <v/>
      </c>
      <c r="J108" s="8"/>
      <c r="K108" s="8"/>
      <c r="L108" s="8"/>
    </row>
    <row r="109" spans="1:12" x14ac:dyDescent="0.3">
      <c r="A109" s="8"/>
      <c r="B109" s="8"/>
      <c r="C109" s="8"/>
      <c r="D109" s="8"/>
      <c r="E109" s="8"/>
      <c r="F109" s="10"/>
      <c r="G109" s="8"/>
      <c r="H109" s="8"/>
      <c r="I109" s="8" t="str" cm="1">
        <f t="array" ref="I109">_xlfn.SWITCH(H109,"XS",1,"S",2,"M",3,"L",5,"XL",8,"XXL",13,"XXXL",21,"")</f>
        <v/>
      </c>
      <c r="J109" s="8"/>
      <c r="K109" s="8"/>
      <c r="L109" s="8"/>
    </row>
    <row r="110" spans="1:12" x14ac:dyDescent="0.3">
      <c r="A110" s="8"/>
      <c r="B110" s="8"/>
      <c r="C110" s="8"/>
      <c r="D110" s="8"/>
      <c r="E110" s="8"/>
      <c r="F110" s="10"/>
      <c r="G110" s="8"/>
      <c r="H110" s="8"/>
      <c r="I110" s="8" t="str" cm="1">
        <f t="array" ref="I110">_xlfn.SWITCH(H110,"XS",1,"S",2,"M",3,"L",5,"XL",8,"XXL",13,"XXXL",21,"")</f>
        <v/>
      </c>
      <c r="J110" s="8"/>
      <c r="K110" s="8"/>
      <c r="L110" s="8"/>
    </row>
    <row r="111" spans="1:12" x14ac:dyDescent="0.3">
      <c r="A111" s="8"/>
      <c r="B111" s="8"/>
      <c r="C111" s="8"/>
      <c r="D111" s="8"/>
      <c r="E111" s="8"/>
      <c r="F111" s="10"/>
      <c r="G111" s="8"/>
      <c r="H111" s="8"/>
      <c r="I111" s="8" t="str" cm="1">
        <f t="array" ref="I111">_xlfn.SWITCH(H111,"XS",1,"S",2,"M",3,"L",5,"XL",8,"XXL",13,"XXXL",21,"")</f>
        <v/>
      </c>
      <c r="J111" s="8"/>
      <c r="K111" s="8"/>
      <c r="L111" s="8"/>
    </row>
    <row r="112" spans="1:12" x14ac:dyDescent="0.3">
      <c r="A112" s="8"/>
      <c r="B112" s="8"/>
      <c r="C112" s="8"/>
      <c r="D112" s="8"/>
      <c r="E112" s="8"/>
      <c r="F112" s="10"/>
      <c r="G112" s="8"/>
      <c r="H112" s="8"/>
      <c r="I112" s="8" t="str" cm="1">
        <f t="array" ref="I112">_xlfn.SWITCH(H112,"XS",1,"S",2,"M",3,"L",5,"XL",8,"XXL",13,"XXXL",21,"")</f>
        <v/>
      </c>
      <c r="J112" s="8"/>
      <c r="K112" s="8"/>
      <c r="L112" s="8"/>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Q22" sqref="Q22"/>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ustomWidth="1"/>
  </cols>
  <sheetData>
    <row r="1" spans="1:12" ht="43.2" x14ac:dyDescent="0.3">
      <c r="A1" s="2" t="s">
        <v>12</v>
      </c>
      <c r="B1" s="2" t="s">
        <v>62</v>
      </c>
      <c r="C1" s="1" t="s">
        <v>13</v>
      </c>
      <c r="D1" s="1" t="s">
        <v>14</v>
      </c>
      <c r="E1" s="1" t="s">
        <v>15</v>
      </c>
    </row>
    <row r="2" spans="1:12" x14ac:dyDescent="0.3">
      <c r="A2" s="2">
        <v>0</v>
      </c>
      <c r="B2" s="14">
        <v>46237</v>
      </c>
      <c r="C2" s="4">
        <f>82-SUM(E$2:E2)</f>
        <v>82</v>
      </c>
      <c r="D2" s="1">
        <f xml:space="preserve"> 82*(1-1/8*A2)</f>
        <v>82</v>
      </c>
      <c r="E2" s="1">
        <v>0</v>
      </c>
    </row>
    <row r="3" spans="1:12" x14ac:dyDescent="0.3">
      <c r="A3" s="2">
        <v>1</v>
      </c>
      <c r="B3" s="14">
        <v>46238</v>
      </c>
      <c r="C3" s="4">
        <f>82-SUM(E$2:E3)</f>
        <v>74</v>
      </c>
      <c r="D3" s="1">
        <f t="shared" ref="D3:D10" si="0" xml:space="preserve"> 82*(1-1/8*A3)</f>
        <v>71.75</v>
      </c>
      <c r="E3" s="2">
        <v>8</v>
      </c>
    </row>
    <row r="4" spans="1:12" x14ac:dyDescent="0.3">
      <c r="A4" s="2">
        <v>2</v>
      </c>
      <c r="B4" s="14">
        <v>46239</v>
      </c>
      <c r="C4" s="4">
        <f>82-SUM(E$2:E4)</f>
        <v>66</v>
      </c>
      <c r="D4" s="1">
        <f t="shared" si="0"/>
        <v>61.5</v>
      </c>
      <c r="E4" s="2">
        <v>8</v>
      </c>
      <c r="L4" s="3"/>
    </row>
    <row r="5" spans="1:12" x14ac:dyDescent="0.3">
      <c r="A5" s="2">
        <v>3</v>
      </c>
      <c r="B5" s="14">
        <v>46240</v>
      </c>
      <c r="C5" s="4">
        <f>82-SUM(E$2:E5)</f>
        <v>66</v>
      </c>
      <c r="D5" s="1">
        <f t="shared" si="0"/>
        <v>51.25</v>
      </c>
      <c r="E5" s="2">
        <v>0</v>
      </c>
    </row>
    <row r="6" spans="1:12" x14ac:dyDescent="0.3">
      <c r="A6" s="2">
        <v>4</v>
      </c>
      <c r="B6" s="14">
        <v>46241</v>
      </c>
      <c r="C6" s="4">
        <f>82-SUM(E$2:E6)</f>
        <v>66</v>
      </c>
      <c r="D6" s="1">
        <f t="shared" si="0"/>
        <v>41</v>
      </c>
      <c r="E6" s="2">
        <v>0</v>
      </c>
    </row>
    <row r="7" spans="1:12" x14ac:dyDescent="0.3">
      <c r="A7" s="2">
        <v>5</v>
      </c>
      <c r="B7" s="14">
        <v>46244</v>
      </c>
      <c r="C7" s="4">
        <f>82-SUM(E$2:E7)</f>
        <v>62</v>
      </c>
      <c r="D7" s="1">
        <f t="shared" si="0"/>
        <v>30.75</v>
      </c>
      <c r="E7" s="2">
        <v>4</v>
      </c>
    </row>
    <row r="8" spans="1:12" x14ac:dyDescent="0.3">
      <c r="A8" s="2">
        <v>6</v>
      </c>
      <c r="B8" s="14">
        <v>46245</v>
      </c>
      <c r="C8" s="4">
        <f>82-SUM(E$2:E8)</f>
        <v>52</v>
      </c>
      <c r="D8" s="1">
        <f t="shared" si="0"/>
        <v>20.5</v>
      </c>
      <c r="E8" s="2">
        <v>10</v>
      </c>
    </row>
    <row r="9" spans="1:12" x14ac:dyDescent="0.3">
      <c r="A9" s="2">
        <v>7</v>
      </c>
      <c r="B9" s="14">
        <v>46246</v>
      </c>
      <c r="C9" s="4">
        <f>82-SUM(E$2:E9)</f>
        <v>37</v>
      </c>
      <c r="D9" s="1">
        <f t="shared" si="0"/>
        <v>10.25</v>
      </c>
      <c r="E9" s="2">
        <v>15</v>
      </c>
    </row>
    <row r="10" spans="1:12" x14ac:dyDescent="0.3">
      <c r="A10" s="2">
        <v>8</v>
      </c>
      <c r="B10" s="14">
        <v>46247</v>
      </c>
      <c r="C10" s="4">
        <f>82-SUM(E$2:E10)</f>
        <v>0</v>
      </c>
      <c r="D10" s="1">
        <f t="shared" si="0"/>
        <v>0</v>
      </c>
      <c r="E10" s="2">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11"/>
  <sheetViews>
    <sheetView tabSelected="1" topLeftCell="A9" workbookViewId="0">
      <selection activeCell="F8" sqref="F8"/>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6" t="s">
        <v>11</v>
      </c>
      <c r="B1" s="6" t="s">
        <v>0</v>
      </c>
      <c r="C1" s="6" t="s">
        <v>1</v>
      </c>
      <c r="D1" s="6" t="s">
        <v>2</v>
      </c>
      <c r="E1" s="6" t="s">
        <v>10</v>
      </c>
      <c r="F1" s="6" t="s">
        <v>3</v>
      </c>
      <c r="G1" s="6" t="s">
        <v>4</v>
      </c>
      <c r="H1" s="6" t="s">
        <v>8</v>
      </c>
      <c r="I1" s="6" t="s">
        <v>9</v>
      </c>
      <c r="J1" s="6" t="s">
        <v>5</v>
      </c>
      <c r="K1" s="6" t="s">
        <v>6</v>
      </c>
      <c r="L1" s="6" t="s">
        <v>7</v>
      </c>
    </row>
    <row r="2" spans="1:12" ht="172.8" x14ac:dyDescent="0.3">
      <c r="A2" s="15">
        <v>1</v>
      </c>
      <c r="B2" s="15" t="s">
        <v>108</v>
      </c>
      <c r="C2" s="15" t="s">
        <v>103</v>
      </c>
      <c r="D2" s="15"/>
      <c r="E2" s="15" t="s">
        <v>31</v>
      </c>
      <c r="F2" s="16" t="s">
        <v>114</v>
      </c>
      <c r="G2" s="15" t="s">
        <v>29</v>
      </c>
      <c r="H2" s="15" t="s">
        <v>27</v>
      </c>
      <c r="I2" s="15">
        <f t="array" ref="I2">_xlfn.SWITCH(H2,"XS",1,"S",2,"M",3,"L",5,"XL",8,"XXL",13,"XXXL",21,"")</f>
        <v>3</v>
      </c>
      <c r="J2" s="15" t="s">
        <v>77</v>
      </c>
      <c r="K2" s="15"/>
      <c r="L2" s="15"/>
    </row>
    <row r="3" spans="1:12" ht="158.4" x14ac:dyDescent="0.3">
      <c r="A3" s="15">
        <v>2</v>
      </c>
      <c r="B3" s="15" t="s">
        <v>108</v>
      </c>
      <c r="C3" s="15" t="s">
        <v>105</v>
      </c>
      <c r="D3" s="15"/>
      <c r="E3" s="15" t="s">
        <v>31</v>
      </c>
      <c r="F3" s="16" t="s">
        <v>115</v>
      </c>
      <c r="G3" s="15" t="s">
        <v>29</v>
      </c>
      <c r="H3" s="15" t="s">
        <v>27</v>
      </c>
      <c r="I3" s="15">
        <f t="array" ref="I3">_xlfn.SWITCH(H3,"XS",1,"S",2,"M",3,"L",5,"XL",8,"XXL",13,"XXXL",21,"")</f>
        <v>3</v>
      </c>
      <c r="J3" s="15" t="s">
        <v>77</v>
      </c>
      <c r="K3" s="15"/>
      <c r="L3" s="15"/>
    </row>
    <row r="4" spans="1:12" ht="403.2" x14ac:dyDescent="0.3">
      <c r="A4" s="15">
        <v>3</v>
      </c>
      <c r="B4" s="15" t="s">
        <v>108</v>
      </c>
      <c r="C4" s="15" t="s">
        <v>103</v>
      </c>
      <c r="D4" s="15"/>
      <c r="E4" s="15" t="s">
        <v>31</v>
      </c>
      <c r="F4" s="21" t="s">
        <v>120</v>
      </c>
      <c r="G4" s="15" t="s">
        <v>29</v>
      </c>
      <c r="H4" s="15" t="s">
        <v>30</v>
      </c>
      <c r="I4" s="15">
        <f t="array" ref="I4">_xlfn.SWITCH(H4,"XS",1,"S",2,"M",3,"L",5,"XL",8,"XXL",13,"XXXL",21,"")</f>
        <v>5</v>
      </c>
      <c r="J4" s="15"/>
      <c r="K4" s="15"/>
      <c r="L4" s="15"/>
    </row>
    <row r="5" spans="1:12" ht="409.6" x14ac:dyDescent="0.3">
      <c r="A5" s="15">
        <v>4</v>
      </c>
      <c r="B5" s="15" t="s">
        <v>108</v>
      </c>
      <c r="C5" s="15" t="s">
        <v>105</v>
      </c>
      <c r="D5" s="15"/>
      <c r="E5" s="15" t="s">
        <v>31</v>
      </c>
      <c r="F5" s="21" t="s">
        <v>119</v>
      </c>
      <c r="G5" s="15" t="s">
        <v>29</v>
      </c>
      <c r="H5" s="15" t="s">
        <v>30</v>
      </c>
      <c r="I5" s="15">
        <f t="array" ref="I5">_xlfn.SWITCH(H5,"XS",1,"S",2,"M",3,"L",5,"XL",8,"XXL",13,"XXXL",21,"")</f>
        <v>5</v>
      </c>
      <c r="J5" s="15"/>
      <c r="K5" s="15"/>
      <c r="L5" s="15"/>
    </row>
    <row r="6" spans="1:12" ht="187.2" x14ac:dyDescent="0.3">
      <c r="A6" s="15">
        <v>5</v>
      </c>
      <c r="B6" s="15" t="s">
        <v>108</v>
      </c>
      <c r="C6" s="15" t="s">
        <v>104</v>
      </c>
      <c r="D6" s="15"/>
      <c r="E6" s="15" t="s">
        <v>22</v>
      </c>
      <c r="F6" s="21" t="s">
        <v>116</v>
      </c>
      <c r="G6" s="15" t="s">
        <v>29</v>
      </c>
      <c r="H6" s="15" t="s">
        <v>30</v>
      </c>
      <c r="I6" s="15">
        <f t="array" ref="I6">_xlfn.SWITCH(H6,"XS",1,"S",2,"M",3,"L",5,"XL",8,"XXL",13,"XXXL",21,"")</f>
        <v>5</v>
      </c>
      <c r="J6" s="15" t="s">
        <v>77</v>
      </c>
      <c r="K6" s="15"/>
      <c r="L6" s="15"/>
    </row>
    <row r="7" spans="1:12" ht="144" x14ac:dyDescent="0.3">
      <c r="A7" s="15">
        <v>6</v>
      </c>
      <c r="B7" s="15" t="s">
        <v>108</v>
      </c>
      <c r="C7" s="15" t="s">
        <v>106</v>
      </c>
      <c r="D7" s="15"/>
      <c r="E7" s="15" t="s">
        <v>20</v>
      </c>
      <c r="F7" s="21" t="s">
        <v>107</v>
      </c>
      <c r="G7" s="15" t="s">
        <v>29</v>
      </c>
      <c r="H7" s="15" t="s">
        <v>23</v>
      </c>
      <c r="I7" s="15">
        <f t="array" ref="I7">_xlfn.SWITCH(H7,"XS",1,"S",2,"M",3,"L",5,"XL",8,"XXL",13,"XXXL",21,"")</f>
        <v>2</v>
      </c>
      <c r="J7" s="15" t="s">
        <v>77</v>
      </c>
      <c r="K7" s="15"/>
      <c r="L7" s="15"/>
    </row>
    <row r="8" spans="1:12" ht="144" x14ac:dyDescent="0.3">
      <c r="A8" s="15">
        <v>7</v>
      </c>
      <c r="B8" s="15" t="s">
        <v>108</v>
      </c>
      <c r="C8" s="15" t="s">
        <v>109</v>
      </c>
      <c r="D8" s="15"/>
      <c r="E8" s="15" t="s">
        <v>20</v>
      </c>
      <c r="F8" s="16" t="s">
        <v>117</v>
      </c>
      <c r="G8" s="15" t="s">
        <v>29</v>
      </c>
      <c r="H8" s="15" t="s">
        <v>27</v>
      </c>
      <c r="I8" s="15">
        <f t="array" ref="I8">_xlfn.SWITCH(H8,"XS",1,"S",2,"M",3,"L",5,"XL",8,"XXL",13,"XXXL",21,"")</f>
        <v>3</v>
      </c>
      <c r="J8" s="15" t="s">
        <v>77</v>
      </c>
      <c r="K8" s="15"/>
      <c r="L8" s="15"/>
    </row>
    <row r="9" spans="1:12" ht="100.8" x14ac:dyDescent="0.3">
      <c r="A9" s="15">
        <v>8</v>
      </c>
      <c r="B9" s="15" t="s">
        <v>108</v>
      </c>
      <c r="C9" s="15">
        <v>6.5</v>
      </c>
      <c r="D9" s="15"/>
      <c r="E9" s="15" t="s">
        <v>20</v>
      </c>
      <c r="F9" s="21" t="s">
        <v>110</v>
      </c>
      <c r="G9" s="15" t="s">
        <v>29</v>
      </c>
      <c r="H9" s="15" t="s">
        <v>23</v>
      </c>
      <c r="I9" s="15">
        <f t="array" ref="I9">_xlfn.SWITCH(H9,"XS",1,"S",2,"M",3,"L",5,"XL",8,"XXL",13,"XXXL",21,"")</f>
        <v>2</v>
      </c>
      <c r="J9" s="15" t="s">
        <v>77</v>
      </c>
      <c r="K9" s="15"/>
      <c r="L9" s="15"/>
    </row>
    <row r="10" spans="1:12" ht="115.2" x14ac:dyDescent="0.3">
      <c r="A10" s="15">
        <v>9</v>
      </c>
      <c r="B10" s="15" t="s">
        <v>76</v>
      </c>
      <c r="C10" s="15" t="s">
        <v>111</v>
      </c>
      <c r="D10" s="15"/>
      <c r="E10" s="15" t="s">
        <v>20</v>
      </c>
      <c r="F10" s="16" t="s">
        <v>118</v>
      </c>
      <c r="G10" s="15" t="s">
        <v>90</v>
      </c>
      <c r="H10" s="15" t="s">
        <v>27</v>
      </c>
      <c r="I10" s="15">
        <f t="array" ref="I10">_xlfn.SWITCH(H10,"XS",1,"S",2,"M",3,"L",5,"XL",8,"XXL",13,"XXXL",21,"")</f>
        <v>3</v>
      </c>
      <c r="J10" s="15" t="s">
        <v>77</v>
      </c>
      <c r="K10" s="15"/>
      <c r="L10" s="15"/>
    </row>
    <row r="11" spans="1:12" ht="201.6" x14ac:dyDescent="0.3">
      <c r="A11" s="15">
        <v>10</v>
      </c>
      <c r="B11" s="17" t="s">
        <v>78</v>
      </c>
      <c r="C11" s="17">
        <v>19.3</v>
      </c>
      <c r="D11" s="17" t="s">
        <v>79</v>
      </c>
      <c r="E11" s="17" t="s">
        <v>20</v>
      </c>
      <c r="F11" s="18" t="s">
        <v>80</v>
      </c>
      <c r="G11" s="17" t="s">
        <v>24</v>
      </c>
      <c r="H11" s="17" t="s">
        <v>27</v>
      </c>
      <c r="I11" s="17">
        <f t="array" ref="I11">_xlfn.SWITCH(H11,"XS",1,"S",2,"M",3,"L",5,"XL",8,"XXL",13,"XXXL",21,"")</f>
        <v>3</v>
      </c>
      <c r="J11" s="17" t="s">
        <v>77</v>
      </c>
      <c r="K11" s="17"/>
      <c r="L11" s="17"/>
    </row>
    <row r="12" spans="1:12" ht="244.8" x14ac:dyDescent="0.3">
      <c r="A12" s="15">
        <v>11</v>
      </c>
      <c r="B12" s="17" t="s">
        <v>78</v>
      </c>
      <c r="C12" s="17">
        <v>19.3</v>
      </c>
      <c r="D12" s="17" t="s">
        <v>81</v>
      </c>
      <c r="E12" s="17" t="s">
        <v>20</v>
      </c>
      <c r="F12" s="18" t="s">
        <v>91</v>
      </c>
      <c r="G12" s="17" t="s">
        <v>24</v>
      </c>
      <c r="H12" s="17" t="s">
        <v>30</v>
      </c>
      <c r="I12" s="17">
        <f t="array" ref="I12">_xlfn.SWITCH(H12,"XS",1,"S",2,"M",3,"L",5,"XL",8,"XXL",13,"XXXL",21,"")</f>
        <v>5</v>
      </c>
      <c r="J12" s="17" t="s">
        <v>77</v>
      </c>
      <c r="K12" s="17"/>
      <c r="L12" s="17"/>
    </row>
    <row r="13" spans="1:12" ht="273.60000000000002" x14ac:dyDescent="0.3">
      <c r="A13" s="15">
        <v>12</v>
      </c>
      <c r="B13" s="17" t="s">
        <v>82</v>
      </c>
      <c r="C13" s="17">
        <v>20.3</v>
      </c>
      <c r="D13" s="17" t="s">
        <v>83</v>
      </c>
      <c r="E13" s="17" t="s">
        <v>20</v>
      </c>
      <c r="F13" s="18" t="s">
        <v>84</v>
      </c>
      <c r="G13" s="17" t="s">
        <v>24</v>
      </c>
      <c r="H13" s="17" t="s">
        <v>30</v>
      </c>
      <c r="I13" s="17">
        <f t="array" ref="I13">_xlfn.SWITCH(H13,"XS",1,"S",2,"M",3,"L",5,"XL",8,"XXL",13,"XXXL",21,"")</f>
        <v>5</v>
      </c>
      <c r="J13" s="17" t="s">
        <v>77</v>
      </c>
      <c r="K13" s="17"/>
      <c r="L13" s="17"/>
    </row>
    <row r="14" spans="1:12" ht="187.2" x14ac:dyDescent="0.3">
      <c r="A14" s="15">
        <v>13</v>
      </c>
      <c r="B14" s="17" t="s">
        <v>82</v>
      </c>
      <c r="C14" s="17">
        <v>20.3</v>
      </c>
      <c r="D14" s="17" t="s">
        <v>85</v>
      </c>
      <c r="E14" s="17" t="s">
        <v>20</v>
      </c>
      <c r="F14" s="18" t="s">
        <v>86</v>
      </c>
      <c r="G14" s="17" t="s">
        <v>24</v>
      </c>
      <c r="H14" s="17" t="s">
        <v>27</v>
      </c>
      <c r="I14" s="17">
        <f t="array" ref="I14">_xlfn.SWITCH(H14,"XS",1,"S",2,"M",3,"L",5,"XL",8,"XXL",13,"XXXL",21,"")</f>
        <v>3</v>
      </c>
      <c r="J14" s="17" t="s">
        <v>77</v>
      </c>
      <c r="K14" s="17"/>
      <c r="L14" s="17"/>
    </row>
    <row r="15" spans="1:12" ht="158.4" x14ac:dyDescent="0.3">
      <c r="A15" s="15">
        <v>14</v>
      </c>
      <c r="B15" s="19" t="s">
        <v>87</v>
      </c>
      <c r="C15" s="19"/>
      <c r="D15" s="19" t="s">
        <v>88</v>
      </c>
      <c r="E15" s="19" t="s">
        <v>22</v>
      </c>
      <c r="F15" s="20" t="s">
        <v>89</v>
      </c>
      <c r="G15" s="19" t="s">
        <v>24</v>
      </c>
      <c r="H15" s="19" t="s">
        <v>27</v>
      </c>
      <c r="I15" s="19">
        <f t="array" ref="I15">_xlfn.SWITCH(H15,"XS",1,"S",2,"M",3,"L",5,"XL",8,"XXL",13,"XXXL",21,"")</f>
        <v>3</v>
      </c>
      <c r="J15" s="19" t="s">
        <v>77</v>
      </c>
      <c r="K15" s="19"/>
      <c r="L15" s="19"/>
    </row>
    <row r="16" spans="1:12" ht="244.8" x14ac:dyDescent="0.3">
      <c r="A16" s="15">
        <v>15</v>
      </c>
      <c r="B16" s="8" t="s">
        <v>78</v>
      </c>
      <c r="C16" s="8">
        <v>19.3</v>
      </c>
      <c r="D16" s="8" t="s">
        <v>92</v>
      </c>
      <c r="E16" s="8" t="s">
        <v>31</v>
      </c>
      <c r="F16" s="10" t="s">
        <v>93</v>
      </c>
      <c r="G16" s="8" t="s">
        <v>29</v>
      </c>
      <c r="H16" s="8" t="s">
        <v>30</v>
      </c>
      <c r="I16" s="8">
        <f t="array" ref="I16">_xlfn.SWITCH(H16,"XS",1,"S",2,"M",3,"L",5,"XL",8,"XXL",13,"XXXL",21,"")</f>
        <v>5</v>
      </c>
      <c r="J16" s="8"/>
      <c r="K16" s="8"/>
      <c r="L16" s="8"/>
    </row>
    <row r="17" spans="1:12" ht="230.4" x14ac:dyDescent="0.3">
      <c r="A17" s="15">
        <v>16</v>
      </c>
      <c r="B17" s="8" t="s">
        <v>82</v>
      </c>
      <c r="C17" s="8">
        <v>20.3</v>
      </c>
      <c r="D17" s="8" t="s">
        <v>94</v>
      </c>
      <c r="E17" s="8" t="s">
        <v>31</v>
      </c>
      <c r="F17" s="10" t="s">
        <v>95</v>
      </c>
      <c r="G17" s="8" t="s">
        <v>29</v>
      </c>
      <c r="H17" s="8" t="s">
        <v>30</v>
      </c>
      <c r="I17" s="8">
        <f t="array" ref="I17">_xlfn.SWITCH(H17,"XS",1,"S",2,"M",3,"L",5,"XL",8,"XXL",13,"XXXL",21,"")</f>
        <v>5</v>
      </c>
      <c r="J17" s="8"/>
      <c r="K17" s="8"/>
      <c r="L17" s="8"/>
    </row>
    <row r="18" spans="1:12" ht="244.8" x14ac:dyDescent="0.3">
      <c r="A18" s="15">
        <v>17</v>
      </c>
      <c r="B18" s="8" t="s">
        <v>82</v>
      </c>
      <c r="C18" s="8">
        <v>20.399999999999999</v>
      </c>
      <c r="D18" s="8" t="s">
        <v>96</v>
      </c>
      <c r="E18" s="8" t="s">
        <v>31</v>
      </c>
      <c r="F18" s="10" t="s">
        <v>97</v>
      </c>
      <c r="G18" s="8" t="s">
        <v>29</v>
      </c>
      <c r="H18" s="8" t="s">
        <v>30</v>
      </c>
      <c r="I18" s="8">
        <v>5</v>
      </c>
      <c r="J18" s="8"/>
      <c r="K18" s="8"/>
      <c r="L18" s="8"/>
    </row>
    <row r="19" spans="1:12" ht="273.60000000000002" x14ac:dyDescent="0.3">
      <c r="A19" s="15">
        <v>18</v>
      </c>
      <c r="B19" s="8" t="s">
        <v>98</v>
      </c>
      <c r="C19" s="8" t="s">
        <v>112</v>
      </c>
      <c r="D19" s="8" t="s">
        <v>99</v>
      </c>
      <c r="E19" s="8" t="s">
        <v>31</v>
      </c>
      <c r="F19" s="10" t="s">
        <v>100</v>
      </c>
      <c r="G19" s="8" t="s">
        <v>29</v>
      </c>
      <c r="H19" s="8" t="s">
        <v>30</v>
      </c>
      <c r="I19" s="8">
        <v>5</v>
      </c>
      <c r="J19" s="8"/>
      <c r="K19" s="8"/>
      <c r="L19" s="8"/>
    </row>
    <row r="20" spans="1:12" ht="345.6" x14ac:dyDescent="0.3">
      <c r="A20" s="15">
        <v>19</v>
      </c>
      <c r="B20" s="8" t="s">
        <v>98</v>
      </c>
      <c r="C20" s="8" t="s">
        <v>113</v>
      </c>
      <c r="D20" s="8" t="s">
        <v>102</v>
      </c>
      <c r="E20" s="8" t="s">
        <v>31</v>
      </c>
      <c r="F20" s="10" t="s">
        <v>101</v>
      </c>
      <c r="G20" s="8" t="s">
        <v>29</v>
      </c>
      <c r="H20" s="8" t="s">
        <v>30</v>
      </c>
      <c r="I20" s="8">
        <v>5</v>
      </c>
      <c r="J20" s="8"/>
      <c r="K20" s="8"/>
      <c r="L20" s="8"/>
    </row>
    <row r="21" spans="1:12" x14ac:dyDescent="0.3">
      <c r="A21" s="8"/>
      <c r="B21" s="8"/>
      <c r="C21" s="8"/>
      <c r="D21" s="8"/>
      <c r="E21" s="8"/>
      <c r="F21" s="10"/>
      <c r="G21" s="8"/>
      <c r="H21" s="8"/>
      <c r="I21" s="8"/>
      <c r="J21" s="8"/>
      <c r="K21" s="8"/>
      <c r="L21" s="8"/>
    </row>
    <row r="22" spans="1:12" x14ac:dyDescent="0.3">
      <c r="A22" s="8"/>
      <c r="B22" s="8"/>
      <c r="C22" s="8"/>
      <c r="D22" s="8"/>
      <c r="E22" s="8"/>
      <c r="F22" s="10"/>
      <c r="G22" s="8"/>
      <c r="H22" s="8"/>
      <c r="I22" s="8"/>
      <c r="J22" s="8"/>
      <c r="K22" s="8"/>
      <c r="L22" s="8"/>
    </row>
    <row r="23" spans="1:12" x14ac:dyDescent="0.3">
      <c r="A23" s="8"/>
      <c r="B23" s="8"/>
      <c r="C23" s="8"/>
      <c r="D23" s="8"/>
      <c r="E23" s="8"/>
      <c r="F23" s="10"/>
      <c r="G23" s="8"/>
      <c r="H23" s="8"/>
      <c r="I23" s="8"/>
      <c r="J23" s="8"/>
      <c r="K23" s="8"/>
      <c r="L23" s="8"/>
    </row>
    <row r="24" spans="1:12" x14ac:dyDescent="0.3">
      <c r="A24" s="8"/>
      <c r="B24" s="8"/>
      <c r="C24" s="8"/>
      <c r="D24" s="8"/>
      <c r="E24" s="8"/>
      <c r="F24" s="10"/>
      <c r="G24" s="8"/>
      <c r="H24" s="8"/>
      <c r="I24" s="8"/>
      <c r="J24" s="8"/>
      <c r="K24" s="8"/>
      <c r="L24" s="8"/>
    </row>
    <row r="25" spans="1:12" x14ac:dyDescent="0.3">
      <c r="A25" s="8"/>
      <c r="B25" s="8"/>
      <c r="C25" s="8"/>
      <c r="D25" s="8"/>
      <c r="E25" s="8"/>
      <c r="F25" s="10"/>
      <c r="G25" s="8"/>
      <c r="H25" s="8"/>
      <c r="I25" s="8" t="str">
        <f t="array" ref="I25">_xlfn.SWITCH(H25,"XS",1,"S",2,"M",3,"L",5,"XL",8,"XXL",13,"XXXL",21,"")</f>
        <v/>
      </c>
      <c r="J25" s="8"/>
      <c r="K25" s="8"/>
      <c r="L25" s="8"/>
    </row>
    <row r="26" spans="1:12" x14ac:dyDescent="0.3">
      <c r="A26" s="8"/>
      <c r="B26" s="8"/>
      <c r="C26" s="8"/>
      <c r="D26" s="8"/>
      <c r="E26" s="8"/>
      <c r="F26" s="10"/>
      <c r="G26" s="8"/>
      <c r="H26" s="8"/>
      <c r="I26" s="8" t="str">
        <f t="array" ref="I26">_xlfn.SWITCH(H26,"XS",1,"S",2,"M",3,"L",5,"XL",8,"XXL",13,"XXXL",21,"")</f>
        <v/>
      </c>
      <c r="J26" s="8"/>
      <c r="K26" s="8"/>
      <c r="L26" s="8"/>
    </row>
    <row r="27" spans="1:12" x14ac:dyDescent="0.3">
      <c r="A27" s="8"/>
      <c r="B27" s="8"/>
      <c r="C27" s="8"/>
      <c r="D27" s="8"/>
      <c r="E27" s="8"/>
      <c r="F27" s="10"/>
      <c r="G27" s="8"/>
      <c r="H27" s="8"/>
      <c r="I27" s="8" t="str">
        <f t="array" ref="I27">_xlfn.SWITCH(H27,"XS",1,"S",2,"M",3,"L",5,"XL",8,"XXL",13,"XXXL",21,"")</f>
        <v/>
      </c>
      <c r="J27" s="8"/>
      <c r="K27" s="8"/>
      <c r="L27" s="8"/>
    </row>
    <row r="28" spans="1:12" x14ac:dyDescent="0.3">
      <c r="A28" s="8"/>
      <c r="B28" s="8"/>
      <c r="C28" s="8"/>
      <c r="D28" s="8"/>
      <c r="E28" s="8"/>
      <c r="F28" s="10"/>
      <c r="G28" s="8"/>
      <c r="H28" s="8"/>
      <c r="I28" s="8" t="str">
        <f t="array" ref="I28">_xlfn.SWITCH(H28,"XS",1,"S",2,"M",3,"L",5,"XL",8,"XXL",13,"XXXL",21,"")</f>
        <v/>
      </c>
      <c r="J28" s="8"/>
      <c r="K28" s="8"/>
      <c r="L28" s="8"/>
    </row>
    <row r="29" spans="1:12" x14ac:dyDescent="0.3">
      <c r="A29" s="8"/>
      <c r="B29" s="8"/>
      <c r="C29" s="8"/>
      <c r="D29" s="8"/>
      <c r="E29" s="8"/>
      <c r="F29" s="10"/>
      <c r="G29" s="8"/>
      <c r="H29" s="8"/>
      <c r="I29" s="8" t="str">
        <f t="array" ref="I29">_xlfn.SWITCH(H29,"XS",1,"S",2,"M",3,"L",5,"XL",8,"XXL",13,"XXXL",21,"")</f>
        <v/>
      </c>
      <c r="J29" s="8"/>
      <c r="K29" s="8"/>
      <c r="L29" s="8"/>
    </row>
    <row r="30" spans="1:12" x14ac:dyDescent="0.3">
      <c r="A30" s="8"/>
      <c r="B30" s="8"/>
      <c r="C30" s="8"/>
      <c r="D30" s="8"/>
      <c r="E30" s="8"/>
      <c r="F30" s="10"/>
      <c r="G30" s="8"/>
      <c r="H30" s="8"/>
      <c r="I30" s="8" t="str">
        <f t="array" ref="I30">_xlfn.SWITCH(H30,"XS",1,"S",2,"M",3,"L",5,"XL",8,"XXL",13,"XXXL",21,"")</f>
        <v/>
      </c>
      <c r="J30" s="8"/>
      <c r="K30" s="8"/>
      <c r="L30" s="8"/>
    </row>
    <row r="31" spans="1:12" x14ac:dyDescent="0.3">
      <c r="A31" s="8"/>
      <c r="B31" s="8"/>
      <c r="C31" s="8"/>
      <c r="D31" s="8"/>
      <c r="E31" s="8"/>
      <c r="F31" s="10"/>
      <c r="G31" s="8"/>
      <c r="H31" s="8"/>
      <c r="I31" s="8" t="str">
        <f t="array" ref="I31">_xlfn.SWITCH(H31,"XS",1,"S",2,"M",3,"L",5,"XL",8,"XXL",13,"XXXL",21,"")</f>
        <v/>
      </c>
      <c r="J31" s="8"/>
      <c r="K31" s="8"/>
      <c r="L31" s="8"/>
    </row>
    <row r="32" spans="1:12" x14ac:dyDescent="0.3">
      <c r="A32" s="8"/>
      <c r="B32" s="8"/>
      <c r="C32" s="8"/>
      <c r="D32" s="8"/>
      <c r="E32" s="8"/>
      <c r="F32" s="7"/>
      <c r="G32" s="8"/>
      <c r="H32" s="8"/>
      <c r="I32" s="8" t="str">
        <f t="array" ref="I32">_xlfn.SWITCH(H32,"XS",1,"S",2,"M",3,"L",5,"XL",8,"XXL",13,"XXXL",21,"")</f>
        <v/>
      </c>
      <c r="J32" s="8"/>
      <c r="K32" s="8"/>
      <c r="L32" s="8"/>
    </row>
    <row r="33" spans="1:12" x14ac:dyDescent="0.3">
      <c r="A33" s="8"/>
      <c r="B33" s="8"/>
      <c r="C33" s="8"/>
      <c r="D33" s="8"/>
      <c r="E33" s="8"/>
      <c r="F33" s="9"/>
      <c r="G33" s="8"/>
      <c r="H33" s="8"/>
      <c r="I33" s="8" t="str">
        <f t="array" ref="I33">_xlfn.SWITCH(H33,"XS",1,"S",2,"M",3,"L",5,"XL",8,"XXL",13,"XXXL",21,"")</f>
        <v/>
      </c>
      <c r="J33" s="8"/>
      <c r="K33" s="8"/>
      <c r="L33" s="8"/>
    </row>
    <row r="34" spans="1:12" x14ac:dyDescent="0.3">
      <c r="A34" s="8"/>
      <c r="B34" s="8"/>
      <c r="C34" s="8"/>
      <c r="D34" s="8"/>
      <c r="E34" s="8"/>
      <c r="F34" s="9"/>
      <c r="G34" s="8"/>
      <c r="H34" s="8"/>
      <c r="I34" s="8" t="str">
        <f t="array" ref="I34">_xlfn.SWITCH(H34,"XS",1,"S",2,"M",3,"L",5,"XL",8,"XXL",13,"XXXL",21,"")</f>
        <v/>
      </c>
      <c r="J34" s="8"/>
      <c r="K34" s="8"/>
      <c r="L34" s="8"/>
    </row>
    <row r="35" spans="1:12" x14ac:dyDescent="0.3">
      <c r="A35" s="8"/>
      <c r="B35" s="8"/>
      <c r="C35" s="8"/>
      <c r="D35" s="8"/>
      <c r="E35" s="8"/>
      <c r="F35" s="9"/>
      <c r="G35" s="8"/>
      <c r="H35" s="8"/>
      <c r="I35" s="8" t="str">
        <f t="array" ref="I35">_xlfn.SWITCH(H35,"XS",1,"S",2,"M",3,"L",5,"XL",8,"XXL",13,"XXXL",21,"")</f>
        <v/>
      </c>
      <c r="J35" s="8"/>
      <c r="K35" s="8"/>
      <c r="L35" s="8"/>
    </row>
    <row r="36" spans="1:12" x14ac:dyDescent="0.3">
      <c r="A36" s="8"/>
      <c r="B36" s="8"/>
      <c r="C36" s="8"/>
      <c r="D36" s="8"/>
      <c r="E36" s="8"/>
      <c r="F36" s="9"/>
      <c r="G36" s="8"/>
      <c r="H36" s="8"/>
      <c r="I36" s="8" t="str">
        <f t="array" ref="I36">_xlfn.SWITCH(H36,"XS",1,"S",2,"M",3,"L",5,"XL",8,"XXL",13,"XXXL",21,"")</f>
        <v/>
      </c>
      <c r="J36" s="8"/>
      <c r="K36" s="8"/>
      <c r="L36" s="8"/>
    </row>
    <row r="37" spans="1:12" x14ac:dyDescent="0.3">
      <c r="A37" s="8"/>
      <c r="B37" s="8"/>
      <c r="C37" s="8"/>
      <c r="D37" s="8"/>
      <c r="E37" s="8"/>
      <c r="F37" s="9"/>
      <c r="G37" s="8"/>
      <c r="H37" s="8"/>
      <c r="I37" s="8" t="str">
        <f t="array" ref="I37">_xlfn.SWITCH(H37,"XS",1,"S",2,"M",3,"L",5,"XL",8,"XXL",13,"XXXL",21,"")</f>
        <v/>
      </c>
      <c r="J37" s="8"/>
      <c r="K37" s="8"/>
      <c r="L37" s="8"/>
    </row>
    <row r="38" spans="1:12" x14ac:dyDescent="0.3">
      <c r="A38" s="8"/>
      <c r="B38" s="8"/>
      <c r="C38" s="8"/>
      <c r="D38" s="8"/>
      <c r="E38" s="8"/>
      <c r="F38" s="9"/>
      <c r="G38" s="8"/>
      <c r="H38" s="8"/>
      <c r="I38" s="8" t="str">
        <f t="array" ref="I38">_xlfn.SWITCH(H38,"XS",1,"S",2,"M",3,"L",5,"XL",8,"XXL",13,"XXXL",21,"")</f>
        <v/>
      </c>
      <c r="J38" s="8"/>
      <c r="K38" s="8"/>
      <c r="L38" s="8"/>
    </row>
    <row r="39" spans="1:12" x14ac:dyDescent="0.3">
      <c r="A39" s="8"/>
      <c r="B39" s="8"/>
      <c r="C39" s="8"/>
      <c r="D39" s="8"/>
      <c r="E39" s="8"/>
      <c r="F39" s="9"/>
      <c r="G39" s="8"/>
      <c r="H39" s="8"/>
      <c r="I39" s="8" t="str">
        <f t="array" ref="I39">_xlfn.SWITCH(H39,"XS",1,"S",2,"M",3,"L",5,"XL",8,"XXL",13,"XXXL",21,"")</f>
        <v/>
      </c>
      <c r="J39" s="8"/>
      <c r="K39" s="8"/>
      <c r="L39" s="8"/>
    </row>
    <row r="40" spans="1:12" x14ac:dyDescent="0.3">
      <c r="A40" s="8"/>
      <c r="B40" s="8"/>
      <c r="C40" s="8"/>
      <c r="D40" s="8"/>
      <c r="E40" s="8"/>
      <c r="F40" s="9"/>
      <c r="G40" s="8"/>
      <c r="H40" s="8"/>
      <c r="I40" s="8" t="str">
        <f t="array" ref="I40">_xlfn.SWITCH(H40,"XS",1,"S",2,"M",3,"L",5,"XL",8,"XXL",13,"XXXL",21,"")</f>
        <v/>
      </c>
      <c r="J40" s="8"/>
      <c r="K40" s="8"/>
      <c r="L40" s="8"/>
    </row>
    <row r="41" spans="1:12" x14ac:dyDescent="0.3">
      <c r="A41" s="8"/>
      <c r="B41" s="8"/>
      <c r="C41" s="8"/>
      <c r="D41" s="8"/>
      <c r="E41" s="8"/>
      <c r="F41" s="9"/>
      <c r="G41" s="8"/>
      <c r="H41" s="8"/>
      <c r="I41" s="8" t="str">
        <f t="array" ref="I41">_xlfn.SWITCH(H41,"XS",1,"S",2,"M",3,"L",5,"XL",8,"XXL",13,"XXXL",21,"")</f>
        <v/>
      </c>
      <c r="J41" s="8"/>
      <c r="K41" s="8"/>
      <c r="L41" s="8"/>
    </row>
    <row r="42" spans="1:12" x14ac:dyDescent="0.3">
      <c r="A42" s="8"/>
      <c r="B42" s="8"/>
      <c r="C42" s="8"/>
      <c r="D42" s="8"/>
      <c r="E42" s="8"/>
      <c r="F42" s="9"/>
      <c r="G42" s="8"/>
      <c r="H42" s="8"/>
      <c r="I42" s="8" t="str">
        <f t="array" ref="I42">_xlfn.SWITCH(H42,"XS",1,"S",2,"M",3,"L",5,"XL",8,"XXL",13,"XXXL",21,"")</f>
        <v/>
      </c>
      <c r="J42" s="8"/>
      <c r="K42" s="8"/>
      <c r="L42" s="8"/>
    </row>
    <row r="43" spans="1:12" x14ac:dyDescent="0.3">
      <c r="A43" s="8"/>
      <c r="B43" s="8"/>
      <c r="C43" s="8"/>
      <c r="D43" s="8"/>
      <c r="E43" s="8"/>
      <c r="F43" s="9"/>
      <c r="G43" s="8"/>
      <c r="H43" s="8"/>
      <c r="I43" s="8" t="str">
        <f t="array" ref="I43">_xlfn.SWITCH(H43,"XS",1,"S",2,"M",3,"L",5,"XL",8,"XXL",13,"XXXL",21,"")</f>
        <v/>
      </c>
      <c r="J43" s="8"/>
      <c r="K43" s="8"/>
      <c r="L43" s="8"/>
    </row>
    <row r="44" spans="1:12" x14ac:dyDescent="0.3">
      <c r="A44" s="8"/>
      <c r="B44" s="8"/>
      <c r="C44" s="8"/>
      <c r="D44" s="8"/>
      <c r="E44" s="8"/>
      <c r="F44" s="9"/>
      <c r="G44" s="8"/>
      <c r="H44" s="8"/>
      <c r="I44" s="8" t="str">
        <f t="array" ref="I44">_xlfn.SWITCH(H44,"XS",1,"S",2,"M",3,"L",5,"XL",8,"XXL",13,"XXXL",21,"")</f>
        <v/>
      </c>
      <c r="J44" s="8"/>
      <c r="K44" s="8"/>
      <c r="L44" s="8"/>
    </row>
    <row r="45" spans="1:12" x14ac:dyDescent="0.3">
      <c r="A45" s="8"/>
      <c r="B45" s="8"/>
      <c r="C45" s="8"/>
      <c r="D45" s="8"/>
      <c r="E45" s="8"/>
      <c r="F45" s="9"/>
      <c r="G45" s="8"/>
      <c r="H45" s="8"/>
      <c r="I45" s="8" t="str">
        <f t="array" ref="I45">_xlfn.SWITCH(H45,"XS",1,"S",2,"M",3,"L",5,"XL",8,"XXL",13,"XXXL",21,"")</f>
        <v/>
      </c>
      <c r="J45" s="8"/>
      <c r="K45" s="8"/>
      <c r="L45" s="8"/>
    </row>
    <row r="46" spans="1:12" x14ac:dyDescent="0.3">
      <c r="A46" s="8"/>
      <c r="B46" s="8"/>
      <c r="C46" s="8"/>
      <c r="D46" s="8"/>
      <c r="E46" s="8"/>
      <c r="F46" s="9"/>
      <c r="G46" s="8"/>
      <c r="H46" s="8"/>
      <c r="I46" s="8" t="str">
        <f t="array" ref="I46">_xlfn.SWITCH(H46,"XS",1,"S",2,"M",3,"L",5,"XL",8,"XXL",13,"XXXL",21,"")</f>
        <v/>
      </c>
      <c r="J46" s="8"/>
      <c r="K46" s="8"/>
      <c r="L46" s="8"/>
    </row>
    <row r="47" spans="1:12" x14ac:dyDescent="0.3">
      <c r="A47" s="8"/>
      <c r="B47" s="8"/>
      <c r="C47" s="8"/>
      <c r="D47" s="8"/>
      <c r="E47" s="8"/>
      <c r="F47" s="9"/>
      <c r="G47" s="8"/>
      <c r="H47" s="8"/>
      <c r="I47" s="8" t="str">
        <f t="array" ref="I47">_xlfn.SWITCH(H47,"XS",1,"S",2,"M",3,"L",5,"XL",8,"XXL",13,"XXXL",21,"")</f>
        <v/>
      </c>
      <c r="J47" s="8"/>
      <c r="K47" s="8"/>
      <c r="L47" s="8"/>
    </row>
    <row r="48" spans="1:12" x14ac:dyDescent="0.3">
      <c r="A48" s="8"/>
      <c r="B48" s="8"/>
      <c r="C48" s="8"/>
      <c r="D48" s="8"/>
      <c r="E48" s="8"/>
      <c r="F48" s="9"/>
      <c r="G48" s="8"/>
      <c r="H48" s="8"/>
      <c r="I48" s="8" t="str">
        <f t="array" ref="I48">_xlfn.SWITCH(H48,"XS",1,"S",2,"M",3,"L",5,"XL",8,"XXL",13,"XXXL",21,"")</f>
        <v/>
      </c>
      <c r="J48" s="8"/>
      <c r="K48" s="8"/>
      <c r="L48" s="8"/>
    </row>
    <row r="49" spans="1:12" x14ac:dyDescent="0.3">
      <c r="A49" s="8"/>
      <c r="B49" s="8"/>
      <c r="C49" s="8"/>
      <c r="D49" s="8"/>
      <c r="E49" s="8"/>
      <c r="F49" s="9"/>
      <c r="G49" s="8"/>
      <c r="H49" s="8"/>
      <c r="I49" s="8" t="str">
        <f t="array" ref="I49">_xlfn.SWITCH(H49,"XS",1,"S",2,"M",3,"L",5,"XL",8,"XXL",13,"XXXL",21,"")</f>
        <v/>
      </c>
      <c r="J49" s="8"/>
      <c r="K49" s="8"/>
      <c r="L49" s="8"/>
    </row>
    <row r="50" spans="1:12" x14ac:dyDescent="0.3">
      <c r="A50" s="8"/>
      <c r="B50" s="8"/>
      <c r="C50" s="8"/>
      <c r="D50" s="8"/>
      <c r="E50" s="8"/>
      <c r="F50" s="10"/>
      <c r="G50" s="8"/>
      <c r="H50" s="8"/>
      <c r="I50" s="8" t="str">
        <f t="array" ref="I50">_xlfn.SWITCH(H50,"XS",1,"S",2,"M",3,"L",5,"XL",8,"XXL",13,"XXXL",21,"")</f>
        <v/>
      </c>
      <c r="J50" s="8"/>
      <c r="K50" s="8"/>
      <c r="L50" s="8"/>
    </row>
    <row r="51" spans="1:12" x14ac:dyDescent="0.3">
      <c r="A51" s="8"/>
      <c r="B51" s="8"/>
      <c r="C51" s="8"/>
      <c r="D51" s="8"/>
      <c r="E51" s="8"/>
      <c r="F51" s="10"/>
      <c r="G51" s="8"/>
      <c r="H51" s="8"/>
      <c r="I51" s="8" t="str">
        <f t="array" ref="I51">_xlfn.SWITCH(H51,"XS",1,"S",2,"M",3,"L",5,"XL",8,"XXL",13,"XXXL",21,"")</f>
        <v/>
      </c>
      <c r="J51" s="8"/>
      <c r="K51" s="8"/>
      <c r="L51" s="8"/>
    </row>
    <row r="52" spans="1:12" x14ac:dyDescent="0.3">
      <c r="A52" s="8"/>
      <c r="B52" s="8"/>
      <c r="C52" s="8"/>
      <c r="D52" s="8"/>
      <c r="E52" s="8"/>
      <c r="F52" s="10"/>
      <c r="G52" s="8"/>
      <c r="H52" s="8"/>
      <c r="I52" s="8" t="str">
        <f t="array" ref="I52">_xlfn.SWITCH(H52,"XS",1,"S",2,"M",3,"L",5,"XL",8,"XXL",13,"XXXL",21,"")</f>
        <v/>
      </c>
      <c r="J52" s="8"/>
      <c r="K52" s="8"/>
      <c r="L52" s="8"/>
    </row>
    <row r="53" spans="1:12" x14ac:dyDescent="0.3">
      <c r="A53" s="8"/>
      <c r="B53" s="8"/>
      <c r="C53" s="8"/>
      <c r="D53" s="8"/>
      <c r="E53" s="8"/>
      <c r="F53" s="10"/>
      <c r="G53" s="8"/>
      <c r="H53" s="8"/>
      <c r="I53" s="8" t="str">
        <f t="array" ref="I53">_xlfn.SWITCH(H53,"XS",1,"S",2,"M",3,"L",5,"XL",8,"XXL",13,"XXXL",21,"")</f>
        <v/>
      </c>
      <c r="J53" s="8"/>
      <c r="K53" s="8"/>
      <c r="L53" s="8"/>
    </row>
    <row r="54" spans="1:12" x14ac:dyDescent="0.3">
      <c r="A54" s="8"/>
      <c r="B54" s="8"/>
      <c r="C54" s="8"/>
      <c r="D54" s="8"/>
      <c r="E54" s="8"/>
      <c r="F54" s="10"/>
      <c r="G54" s="8"/>
      <c r="H54" s="8"/>
      <c r="I54" s="8" t="str">
        <f t="array" ref="I54">_xlfn.SWITCH(H54,"XS",1,"S",2,"M",3,"L",5,"XL",8,"XXL",13,"XXXL",21,"")</f>
        <v/>
      </c>
      <c r="J54" s="8"/>
      <c r="K54" s="8"/>
      <c r="L54" s="8"/>
    </row>
    <row r="55" spans="1:12" x14ac:dyDescent="0.3">
      <c r="A55" s="8"/>
      <c r="B55" s="8"/>
      <c r="C55" s="8"/>
      <c r="D55" s="8"/>
      <c r="E55" s="8"/>
      <c r="F55" s="10"/>
      <c r="G55" s="8"/>
      <c r="H55" s="8"/>
      <c r="I55" s="8" t="str">
        <f t="array" ref="I55">_xlfn.SWITCH(H55,"XS",1,"S",2,"M",3,"L",5,"XL",8,"XXL",13,"XXXL",21,"")</f>
        <v/>
      </c>
      <c r="J55" s="8"/>
      <c r="K55" s="8"/>
      <c r="L55" s="8"/>
    </row>
    <row r="56" spans="1:12" x14ac:dyDescent="0.3">
      <c r="A56" s="8"/>
      <c r="B56" s="8"/>
      <c r="C56" s="8"/>
      <c r="D56" s="8"/>
      <c r="E56" s="8"/>
      <c r="F56" s="9"/>
      <c r="G56" s="8"/>
      <c r="H56" s="8"/>
      <c r="I56" s="8" t="str">
        <f t="array" ref="I56">_xlfn.SWITCH(H56,"XS",1,"S",2,"M",3,"L",5,"XL",8,"XXL",13,"XXXL",21,"")</f>
        <v/>
      </c>
      <c r="J56" s="8"/>
      <c r="K56" s="8"/>
      <c r="L56" s="8"/>
    </row>
    <row r="57" spans="1:12" x14ac:dyDescent="0.3">
      <c r="A57" s="8"/>
      <c r="B57" s="8"/>
      <c r="C57" s="8"/>
      <c r="D57" s="8"/>
      <c r="E57" s="8"/>
      <c r="F57" s="9"/>
      <c r="G57" s="8"/>
      <c r="H57" s="8"/>
      <c r="I57" s="8" t="str">
        <f t="array" ref="I57">_xlfn.SWITCH(H57,"XS",1,"S",2,"M",3,"L",5,"XL",8,"XXL",13,"XXXL",21,"")</f>
        <v/>
      </c>
      <c r="J57" s="8"/>
      <c r="K57" s="8"/>
      <c r="L57" s="8"/>
    </row>
    <row r="58" spans="1:12" x14ac:dyDescent="0.3">
      <c r="A58" s="8"/>
      <c r="B58" s="8"/>
      <c r="C58" s="8"/>
      <c r="D58" s="8"/>
      <c r="E58" s="8"/>
      <c r="F58" s="9"/>
      <c r="G58" s="8"/>
      <c r="H58" s="8"/>
      <c r="I58" s="8" t="str">
        <f t="array" ref="I58">_xlfn.SWITCH(H58,"XS",1,"S",2,"M",3,"L",5,"XL",8,"XXL",13,"XXXL",21,"")</f>
        <v/>
      </c>
      <c r="J58" s="8"/>
      <c r="K58" s="8"/>
      <c r="L58" s="8"/>
    </row>
    <row r="59" spans="1:12" x14ac:dyDescent="0.3">
      <c r="A59" s="8"/>
      <c r="B59" s="8"/>
      <c r="C59" s="8"/>
      <c r="D59" s="8"/>
      <c r="E59" s="8"/>
      <c r="F59" s="9"/>
      <c r="G59" s="8"/>
      <c r="H59" s="8"/>
      <c r="I59" s="8" t="str">
        <f t="array" ref="I59">_xlfn.SWITCH(H59,"XS",1,"S",2,"M",3,"L",5,"XL",8,"XXL",13,"XXXL",21,"")</f>
        <v/>
      </c>
      <c r="J59" s="8"/>
      <c r="K59" s="8"/>
      <c r="L59" s="8"/>
    </row>
    <row r="60" spans="1:12" x14ac:dyDescent="0.3">
      <c r="A60" s="8"/>
      <c r="B60" s="8"/>
      <c r="C60" s="8"/>
      <c r="D60" s="8"/>
      <c r="E60" s="8"/>
      <c r="F60" s="9"/>
      <c r="G60" s="8"/>
      <c r="H60" s="8"/>
      <c r="I60" s="8" t="str">
        <f t="array" ref="I60">_xlfn.SWITCH(H60,"XS",1,"S",2,"M",3,"L",5,"XL",8,"XXL",13,"XXXL",21,"")</f>
        <v/>
      </c>
      <c r="J60" s="8"/>
      <c r="K60" s="8"/>
      <c r="L60" s="8"/>
    </row>
    <row r="61" spans="1:12" x14ac:dyDescent="0.3">
      <c r="A61" s="8"/>
      <c r="B61" s="8"/>
      <c r="C61" s="8"/>
      <c r="D61" s="8"/>
      <c r="E61" s="8"/>
      <c r="F61" s="9"/>
      <c r="G61" s="8"/>
      <c r="H61" s="8"/>
      <c r="I61" s="8" t="str">
        <f t="array" ref="I61">_xlfn.SWITCH(H61,"XS",1,"S",2,"M",3,"L",5,"XL",8,"XXL",13,"XXXL",21,"")</f>
        <v/>
      </c>
      <c r="J61" s="8"/>
      <c r="K61" s="8"/>
      <c r="L61" s="8"/>
    </row>
    <row r="62" spans="1:12" x14ac:dyDescent="0.3">
      <c r="A62" s="8"/>
      <c r="B62" s="8"/>
      <c r="C62" s="8"/>
      <c r="D62" s="8"/>
      <c r="E62" s="8"/>
      <c r="F62" s="9"/>
      <c r="G62" s="8"/>
      <c r="H62" s="8"/>
      <c r="I62" s="8" t="str">
        <f t="array" ref="I62">_xlfn.SWITCH(H62,"XS",1,"S",2,"M",3,"L",5,"XL",8,"XXL",13,"XXXL",21,"")</f>
        <v/>
      </c>
      <c r="J62" s="8"/>
      <c r="K62" s="8"/>
      <c r="L62" s="8"/>
    </row>
    <row r="63" spans="1:12" x14ac:dyDescent="0.3">
      <c r="A63" s="8"/>
      <c r="B63" s="8"/>
      <c r="C63" s="8"/>
      <c r="D63" s="8"/>
      <c r="E63" s="8"/>
      <c r="F63" s="9"/>
      <c r="G63" s="8"/>
      <c r="H63" s="8"/>
      <c r="I63" s="8" t="str">
        <f t="array" ref="I63">_xlfn.SWITCH(H63,"XS",1,"S",2,"M",3,"L",5,"XL",8,"XXL",13,"XXXL",21,"")</f>
        <v/>
      </c>
      <c r="J63" s="8"/>
      <c r="K63" s="8"/>
      <c r="L63" s="8"/>
    </row>
    <row r="64" spans="1:12" x14ac:dyDescent="0.3">
      <c r="A64" s="8"/>
      <c r="B64" s="8"/>
      <c r="C64" s="8"/>
      <c r="D64" s="8"/>
      <c r="E64" s="8"/>
      <c r="F64" s="9"/>
      <c r="G64" s="8"/>
      <c r="H64" s="8"/>
      <c r="I64" s="8" t="str">
        <f t="array" ref="I64">_xlfn.SWITCH(H64,"XS",1,"S",2,"M",3,"L",5,"XL",8,"XXL",13,"XXXL",21,"")</f>
        <v/>
      </c>
      <c r="J64" s="8"/>
      <c r="K64" s="8"/>
      <c r="L64" s="8"/>
    </row>
    <row r="65" spans="1:12" x14ac:dyDescent="0.3">
      <c r="A65" s="8"/>
      <c r="B65" s="8"/>
      <c r="C65" s="8"/>
      <c r="D65" s="8"/>
      <c r="E65" s="8"/>
      <c r="F65" s="9"/>
      <c r="G65" s="8"/>
      <c r="H65" s="8"/>
      <c r="I65" s="8" t="str">
        <f t="array" ref="I65">_xlfn.SWITCH(H65,"XS",1,"S",2,"M",3,"L",5,"XL",8,"XXL",13,"XXXL",21,"")</f>
        <v/>
      </c>
      <c r="J65" s="8"/>
      <c r="K65" s="8"/>
      <c r="L65" s="8"/>
    </row>
    <row r="66" spans="1:12" x14ac:dyDescent="0.3">
      <c r="A66" s="8"/>
      <c r="B66" s="8"/>
      <c r="C66" s="8"/>
      <c r="D66" s="8"/>
      <c r="E66" s="8"/>
      <c r="F66" s="9"/>
      <c r="G66" s="8"/>
      <c r="H66" s="8"/>
      <c r="I66" s="8" t="str">
        <f t="array" ref="I66">_xlfn.SWITCH(H66,"XS",1,"S",2,"M",3,"L",5,"XL",8,"XXL",13,"XXXL",21,"")</f>
        <v/>
      </c>
      <c r="J66" s="8"/>
      <c r="K66" s="8"/>
      <c r="L66" s="8"/>
    </row>
    <row r="67" spans="1:12" x14ac:dyDescent="0.3">
      <c r="A67" s="8"/>
      <c r="B67" s="8"/>
      <c r="C67" s="8"/>
      <c r="D67" s="8"/>
      <c r="E67" s="8"/>
      <c r="F67" s="7"/>
      <c r="G67" s="8"/>
      <c r="H67" s="8"/>
      <c r="I67" s="8" t="str">
        <f t="array" ref="I67">_xlfn.SWITCH(H67,"XS",1,"S",2,"M",3,"L",5,"XL",8,"XXL",13,"XXXL",21,"")</f>
        <v/>
      </c>
      <c r="J67" s="8"/>
      <c r="K67" s="8"/>
      <c r="L67" s="8"/>
    </row>
    <row r="68" spans="1:12" x14ac:dyDescent="0.3">
      <c r="A68" s="8"/>
      <c r="B68" s="8"/>
      <c r="C68" s="8"/>
      <c r="D68" s="8"/>
      <c r="E68" s="8"/>
      <c r="F68" s="9"/>
      <c r="G68" s="8"/>
      <c r="H68" s="8"/>
      <c r="I68" s="8" t="str">
        <f t="array" ref="I68">_xlfn.SWITCH(H68,"XS",1,"S",2,"M",3,"L",5,"XL",8,"XXL",13,"XXXL",21,"")</f>
        <v/>
      </c>
      <c r="J68" s="8"/>
      <c r="K68" s="8"/>
      <c r="L68" s="8"/>
    </row>
    <row r="69" spans="1:12" x14ac:dyDescent="0.3">
      <c r="A69" s="8"/>
      <c r="B69" s="8"/>
      <c r="C69" s="8"/>
      <c r="D69" s="8"/>
      <c r="E69" s="8"/>
      <c r="F69" s="7"/>
      <c r="G69" s="8"/>
      <c r="H69" s="8"/>
      <c r="I69" s="8" t="str">
        <f t="array" ref="I69">_xlfn.SWITCH(H69,"XS",1,"S",2,"M",3,"L",5,"XL",8,"XXL",13,"XXXL",21,"")</f>
        <v/>
      </c>
      <c r="J69" s="8"/>
      <c r="K69" s="8"/>
      <c r="L69" s="8"/>
    </row>
    <row r="70" spans="1:12" x14ac:dyDescent="0.3">
      <c r="A70" s="8"/>
      <c r="B70" s="8"/>
      <c r="C70" s="8"/>
      <c r="D70" s="8"/>
      <c r="E70" s="8"/>
      <c r="F70" s="7"/>
      <c r="G70" s="8"/>
      <c r="H70" s="8"/>
      <c r="I70" s="8" t="str">
        <f t="array" ref="I70">_xlfn.SWITCH(H70,"XS",1,"S",2,"M",3,"L",5,"XL",8,"XXL",13,"XXXL",21,"")</f>
        <v/>
      </c>
      <c r="J70" s="8"/>
      <c r="K70" s="8"/>
      <c r="L70" s="8"/>
    </row>
    <row r="71" spans="1:12" x14ac:dyDescent="0.3">
      <c r="A71" s="8"/>
      <c r="B71" s="8"/>
      <c r="C71" s="8"/>
      <c r="D71" s="8"/>
      <c r="E71" s="8"/>
      <c r="F71" s="9"/>
      <c r="G71" s="8"/>
      <c r="H71" s="8"/>
      <c r="I71" s="8" t="str">
        <f t="array" ref="I71">_xlfn.SWITCH(H71,"XS",1,"S",2,"M",3,"L",5,"XL",8,"XXL",13,"XXXL",21,"")</f>
        <v/>
      </c>
      <c r="J71" s="8"/>
      <c r="K71" s="8"/>
      <c r="L71" s="8"/>
    </row>
    <row r="72" spans="1:12" x14ac:dyDescent="0.3">
      <c r="A72" s="8"/>
      <c r="B72" s="8"/>
      <c r="C72" s="8"/>
      <c r="D72" s="8"/>
      <c r="E72" s="8"/>
      <c r="F72" s="9"/>
      <c r="G72" s="8"/>
      <c r="H72" s="8"/>
      <c r="I72" s="8" t="str">
        <f t="array" ref="I72">_xlfn.SWITCH(H72,"XS",1,"S",2,"M",3,"L",5,"XL",8,"XXL",13,"XXXL",21,"")</f>
        <v/>
      </c>
      <c r="J72" s="8"/>
      <c r="K72" s="8"/>
      <c r="L72" s="8"/>
    </row>
    <row r="73" spans="1:12" x14ac:dyDescent="0.3">
      <c r="A73" s="8"/>
      <c r="B73" s="8"/>
      <c r="C73" s="8"/>
      <c r="D73" s="8"/>
      <c r="E73" s="8"/>
      <c r="F73" s="9"/>
      <c r="G73" s="8"/>
      <c r="H73" s="8"/>
      <c r="I73" s="8" t="str">
        <f t="array" ref="I73">_xlfn.SWITCH(H73,"XS",1,"S",2,"M",3,"L",5,"XL",8,"XXL",13,"XXXL",21,"")</f>
        <v/>
      </c>
      <c r="J73" s="8"/>
      <c r="K73" s="8"/>
      <c r="L73" s="8"/>
    </row>
    <row r="74" spans="1:12" x14ac:dyDescent="0.3">
      <c r="A74" s="8"/>
      <c r="B74" s="8"/>
      <c r="C74" s="8"/>
      <c r="D74" s="8"/>
      <c r="E74" s="8"/>
      <c r="F74" s="9"/>
      <c r="G74" s="8"/>
      <c r="H74" s="8"/>
      <c r="I74" s="8" t="str">
        <f t="array" ref="I74">_xlfn.SWITCH(H74,"XS",1,"S",2,"M",3,"L",5,"XL",8,"XXL",13,"XXXL",21,"")</f>
        <v/>
      </c>
      <c r="J74" s="8"/>
      <c r="K74" s="8"/>
      <c r="L74" s="8"/>
    </row>
    <row r="75" spans="1:12" x14ac:dyDescent="0.3">
      <c r="A75" s="8"/>
      <c r="B75" s="8"/>
      <c r="C75" s="8"/>
      <c r="D75" s="8"/>
      <c r="E75" s="8"/>
      <c r="F75" s="9"/>
      <c r="G75" s="8"/>
      <c r="H75" s="8"/>
      <c r="I75" s="8" t="str">
        <f t="array" ref="I75">_xlfn.SWITCH(H75,"XS",1,"S",2,"M",3,"L",5,"XL",8,"XXL",13,"XXXL",21,"")</f>
        <v/>
      </c>
      <c r="J75" s="8"/>
      <c r="K75" s="8"/>
      <c r="L75" s="8"/>
    </row>
    <row r="76" spans="1:12" x14ac:dyDescent="0.3">
      <c r="A76" s="8"/>
      <c r="B76" s="8"/>
      <c r="C76" s="8"/>
      <c r="D76" s="8"/>
      <c r="E76" s="8"/>
      <c r="F76" s="10"/>
      <c r="G76" s="8"/>
      <c r="H76" s="8"/>
      <c r="I76" s="8" t="str">
        <f t="array" ref="I76">_xlfn.SWITCH(H76,"XS",1,"S",2,"M",3,"L",5,"XL",8,"XXL",13,"XXXL",21,"")</f>
        <v/>
      </c>
      <c r="J76" s="8"/>
      <c r="K76" s="8"/>
      <c r="L76" s="8"/>
    </row>
    <row r="77" spans="1:12" x14ac:dyDescent="0.3">
      <c r="A77" s="8"/>
      <c r="B77" s="8"/>
      <c r="C77" s="8"/>
      <c r="D77" s="8"/>
      <c r="E77" s="8"/>
      <c r="F77" s="10"/>
      <c r="G77" s="8"/>
      <c r="H77" s="8"/>
      <c r="I77" s="8" t="str">
        <f t="array" ref="I77">_xlfn.SWITCH(H77,"XS",1,"S",2,"M",3,"L",5,"XL",8,"XXL",13,"XXXL",21,"")</f>
        <v/>
      </c>
      <c r="J77" s="8"/>
      <c r="K77" s="8"/>
      <c r="L77" s="8"/>
    </row>
    <row r="78" spans="1:12" x14ac:dyDescent="0.3">
      <c r="A78" s="8"/>
      <c r="B78" s="8"/>
      <c r="C78" s="8"/>
      <c r="D78" s="8"/>
      <c r="E78" s="8"/>
      <c r="F78" s="10"/>
      <c r="G78" s="8"/>
      <c r="H78" s="8"/>
      <c r="I78" s="8" t="str">
        <f t="array" ref="I78">_xlfn.SWITCH(H78,"XS",1,"S",2,"M",3,"L",5,"XL",8,"XXL",13,"XXXL",21,"")</f>
        <v/>
      </c>
      <c r="J78" s="8"/>
      <c r="K78" s="8"/>
      <c r="L78" s="8"/>
    </row>
    <row r="79" spans="1:12" x14ac:dyDescent="0.3">
      <c r="A79" s="8"/>
      <c r="B79" s="8"/>
      <c r="C79" s="8"/>
      <c r="D79" s="8"/>
      <c r="E79" s="8"/>
      <c r="F79" s="10"/>
      <c r="G79" s="8"/>
      <c r="H79" s="8"/>
      <c r="I79" s="8" t="str">
        <f t="array" ref="I79">_xlfn.SWITCH(H79,"XS",1,"S",2,"M",3,"L",5,"XL",8,"XXL",13,"XXXL",21,"")</f>
        <v/>
      </c>
      <c r="J79" s="8"/>
      <c r="K79" s="8"/>
      <c r="L79" s="8"/>
    </row>
    <row r="80" spans="1:12" x14ac:dyDescent="0.3">
      <c r="A80" s="8"/>
      <c r="B80" s="8"/>
      <c r="C80" s="8"/>
      <c r="D80" s="8"/>
      <c r="E80" s="8"/>
      <c r="F80" s="10"/>
      <c r="G80" s="8"/>
      <c r="H80" s="8"/>
      <c r="I80" s="8" t="str">
        <f t="array" ref="I80">_xlfn.SWITCH(H80,"XS",1,"S",2,"M",3,"L",5,"XL",8,"XXL",13,"XXXL",21,"")</f>
        <v/>
      </c>
      <c r="J80" s="8"/>
      <c r="K80" s="8"/>
      <c r="L80" s="8"/>
    </row>
    <row r="81" spans="1:12" x14ac:dyDescent="0.3">
      <c r="A81" s="8"/>
      <c r="B81" s="8"/>
      <c r="C81" s="8"/>
      <c r="D81" s="8"/>
      <c r="E81" s="8"/>
      <c r="F81" s="10"/>
      <c r="G81" s="8"/>
      <c r="H81" s="8"/>
      <c r="I81" s="8" t="str">
        <f t="array" ref="I81">_xlfn.SWITCH(H81,"XS",1,"S",2,"M",3,"L",5,"XL",8,"XXL",13,"XXXL",21,"")</f>
        <v/>
      </c>
      <c r="J81" s="8"/>
      <c r="K81" s="8"/>
      <c r="L81" s="8"/>
    </row>
    <row r="82" spans="1:12" x14ac:dyDescent="0.3">
      <c r="A82" s="8"/>
      <c r="B82" s="8"/>
      <c r="C82" s="8"/>
      <c r="D82" s="8"/>
      <c r="E82" s="8"/>
      <c r="F82" s="10"/>
      <c r="G82" s="8"/>
      <c r="H82" s="8"/>
      <c r="I82" s="8" t="str">
        <f t="array" ref="I82">_xlfn.SWITCH(H82,"XS",1,"S",2,"M",3,"L",5,"XL",8,"XXL",13,"XXXL",21,"")</f>
        <v/>
      </c>
      <c r="J82" s="8"/>
      <c r="K82" s="8"/>
      <c r="L82" s="8"/>
    </row>
    <row r="83" spans="1:12" x14ac:dyDescent="0.3">
      <c r="A83" s="8"/>
      <c r="B83" s="8"/>
      <c r="C83" s="8"/>
      <c r="D83" s="8"/>
      <c r="E83" s="8"/>
      <c r="F83" s="10"/>
      <c r="G83" s="8"/>
      <c r="H83" s="8"/>
      <c r="I83" s="8" t="str">
        <f t="array" ref="I83">_xlfn.SWITCH(H83,"XS",1,"S",2,"M",3,"L",5,"XL",8,"XXL",13,"XXXL",21,"")</f>
        <v/>
      </c>
      <c r="J83" s="8"/>
      <c r="K83" s="8"/>
      <c r="L83" s="8"/>
    </row>
    <row r="84" spans="1:12" x14ac:dyDescent="0.3">
      <c r="A84" s="8"/>
      <c r="B84" s="8"/>
      <c r="C84" s="8"/>
      <c r="D84" s="8"/>
      <c r="E84" s="8"/>
      <c r="F84" s="10"/>
      <c r="G84" s="8"/>
      <c r="H84" s="8"/>
      <c r="I84" s="8" t="str">
        <f t="array" ref="I84">_xlfn.SWITCH(H84,"XS",1,"S",2,"M",3,"L",5,"XL",8,"XXL",13,"XXXL",21,"")</f>
        <v/>
      </c>
      <c r="J84" s="8"/>
      <c r="K84" s="8"/>
      <c r="L84" s="8"/>
    </row>
    <row r="85" spans="1:12" x14ac:dyDescent="0.3">
      <c r="A85" s="8"/>
      <c r="B85" s="8"/>
      <c r="C85" s="8"/>
      <c r="D85" s="8"/>
      <c r="E85" s="8"/>
      <c r="F85" s="10"/>
      <c r="G85" s="8"/>
      <c r="H85" s="8"/>
      <c r="I85" s="8" t="str">
        <f t="array" ref="I85">_xlfn.SWITCH(H85,"XS",1,"S",2,"M",3,"L",5,"XL",8,"XXL",13,"XXXL",21,"")</f>
        <v/>
      </c>
      <c r="J85" s="8"/>
      <c r="K85" s="8"/>
      <c r="L85" s="8"/>
    </row>
    <row r="86" spans="1:12" x14ac:dyDescent="0.3">
      <c r="A86" s="8"/>
      <c r="B86" s="8"/>
      <c r="C86" s="8"/>
      <c r="D86" s="8"/>
      <c r="E86" s="8"/>
      <c r="F86" s="10"/>
      <c r="G86" s="8"/>
      <c r="H86" s="8"/>
      <c r="I86" s="8" t="str">
        <f t="array" ref="I86">_xlfn.SWITCH(H86,"XS",1,"S",2,"M",3,"L",5,"XL",8,"XXL",13,"XXXL",21,"")</f>
        <v/>
      </c>
      <c r="J86" s="8"/>
      <c r="K86" s="8"/>
      <c r="L86" s="8"/>
    </row>
    <row r="87" spans="1:12" x14ac:dyDescent="0.3">
      <c r="A87" s="8"/>
      <c r="B87" s="8"/>
      <c r="C87" s="8"/>
      <c r="D87" s="8"/>
      <c r="E87" s="8"/>
      <c r="F87" s="10"/>
      <c r="G87" s="8"/>
      <c r="H87" s="8"/>
      <c r="I87" s="8" t="str">
        <f t="array" ref="I87">_xlfn.SWITCH(H87,"XS",1,"S",2,"M",3,"L",5,"XL",8,"XXL",13,"XXXL",21,"")</f>
        <v/>
      </c>
      <c r="J87" s="8"/>
      <c r="K87" s="8"/>
      <c r="L87" s="8"/>
    </row>
    <row r="88" spans="1:12" x14ac:dyDescent="0.3">
      <c r="A88" s="8"/>
      <c r="B88" s="8"/>
      <c r="C88" s="8"/>
      <c r="D88" s="8"/>
      <c r="E88" s="8"/>
      <c r="F88" s="10"/>
      <c r="G88" s="8"/>
      <c r="H88" s="8"/>
      <c r="I88" s="8" t="str">
        <f t="array" ref="I88">_xlfn.SWITCH(H88,"XS",1,"S",2,"M",3,"L",5,"XL",8,"XXL",13,"XXXL",21,"")</f>
        <v/>
      </c>
      <c r="J88" s="8"/>
      <c r="K88" s="8"/>
      <c r="L88" s="8"/>
    </row>
    <row r="89" spans="1:12" x14ac:dyDescent="0.3">
      <c r="A89" s="8"/>
      <c r="B89" s="8"/>
      <c r="C89" s="8"/>
      <c r="D89" s="8"/>
      <c r="E89" s="8"/>
      <c r="F89" s="10"/>
      <c r="G89" s="8"/>
      <c r="H89" s="8"/>
      <c r="I89" s="8" t="str">
        <f t="array" ref="I89">_xlfn.SWITCH(H89,"XS",1,"S",2,"M",3,"L",5,"XL",8,"XXL",13,"XXXL",21,"")</f>
        <v/>
      </c>
      <c r="J89" s="8"/>
      <c r="K89" s="8"/>
      <c r="L89" s="8"/>
    </row>
    <row r="90" spans="1:12" x14ac:dyDescent="0.3">
      <c r="A90" s="8"/>
      <c r="B90" s="8"/>
      <c r="C90" s="8"/>
      <c r="D90" s="8"/>
      <c r="E90" s="8"/>
      <c r="F90" s="10"/>
      <c r="G90" s="8"/>
      <c r="H90" s="8"/>
      <c r="I90" s="8" t="str">
        <f t="array" ref="I90">_xlfn.SWITCH(H90,"XS",1,"S",2,"M",3,"L",5,"XL",8,"XXL",13,"XXXL",21,"")</f>
        <v/>
      </c>
      <c r="J90" s="8"/>
      <c r="K90" s="8"/>
      <c r="L90" s="8"/>
    </row>
    <row r="91" spans="1:12" x14ac:dyDescent="0.3">
      <c r="A91" s="8"/>
      <c r="B91" s="8"/>
      <c r="C91" s="8"/>
      <c r="D91" s="8"/>
      <c r="E91" s="8"/>
      <c r="F91" s="10"/>
      <c r="G91" s="8"/>
      <c r="H91" s="8"/>
      <c r="I91" s="8" t="str">
        <f t="array" ref="I91">_xlfn.SWITCH(H91,"XS",1,"S",2,"M",3,"L",5,"XL",8,"XXL",13,"XXXL",21,"")</f>
        <v/>
      </c>
      <c r="J91" s="8"/>
      <c r="K91" s="8"/>
      <c r="L91" s="8"/>
    </row>
    <row r="92" spans="1:12" x14ac:dyDescent="0.3">
      <c r="A92" s="8"/>
      <c r="B92" s="8"/>
      <c r="C92" s="8"/>
      <c r="D92" s="8"/>
      <c r="E92" s="8"/>
      <c r="F92" s="10"/>
      <c r="G92" s="8"/>
      <c r="H92" s="8"/>
      <c r="I92" s="8" t="str">
        <f t="array" ref="I92">_xlfn.SWITCH(H92,"XS",1,"S",2,"M",3,"L",5,"XL",8,"XXL",13,"XXXL",21,"")</f>
        <v/>
      </c>
      <c r="J92" s="8"/>
      <c r="K92" s="8"/>
      <c r="L92" s="8"/>
    </row>
    <row r="93" spans="1:12" x14ac:dyDescent="0.3">
      <c r="A93" s="8"/>
      <c r="B93" s="8"/>
      <c r="C93" s="8"/>
      <c r="D93" s="8"/>
      <c r="E93" s="8"/>
      <c r="F93" s="10"/>
      <c r="G93" s="8"/>
      <c r="H93" s="8"/>
      <c r="I93" s="8" t="str">
        <f t="array" ref="I93">_xlfn.SWITCH(H93,"XS",1,"S",2,"M",3,"L",5,"XL",8,"XXL",13,"XXXL",21,"")</f>
        <v/>
      </c>
      <c r="J93" s="8"/>
      <c r="K93" s="8"/>
      <c r="L93" s="8"/>
    </row>
    <row r="94" spans="1:12" x14ac:dyDescent="0.3">
      <c r="A94" s="8"/>
      <c r="B94" s="8"/>
      <c r="C94" s="8"/>
      <c r="D94" s="8"/>
      <c r="E94" s="8"/>
      <c r="F94" s="10"/>
      <c r="G94" s="8"/>
      <c r="H94" s="8"/>
      <c r="I94" s="8" t="str">
        <f t="array" ref="I94">_xlfn.SWITCH(H94,"XS",1,"S",2,"M",3,"L",5,"XL",8,"XXL",13,"XXXL",21,"")</f>
        <v/>
      </c>
      <c r="J94" s="8"/>
      <c r="K94" s="8"/>
      <c r="L94" s="8"/>
    </row>
    <row r="95" spans="1:12" x14ac:dyDescent="0.3">
      <c r="A95" s="8"/>
      <c r="B95" s="8"/>
      <c r="C95" s="8"/>
      <c r="D95" s="8"/>
      <c r="E95" s="8"/>
      <c r="F95" s="10"/>
      <c r="G95" s="8"/>
      <c r="H95" s="8"/>
      <c r="I95" s="8" t="str">
        <f t="array" ref="I95">_xlfn.SWITCH(H95,"XS",1,"S",2,"M",3,"L",5,"XL",8,"XXL",13,"XXXL",21,"")</f>
        <v/>
      </c>
      <c r="J95" s="8"/>
      <c r="K95" s="8"/>
      <c r="L95" s="8"/>
    </row>
    <row r="96" spans="1:12" x14ac:dyDescent="0.3">
      <c r="A96" s="8"/>
      <c r="B96" s="8"/>
      <c r="C96" s="8"/>
      <c r="D96" s="8"/>
      <c r="E96" s="8"/>
      <c r="F96" s="10"/>
      <c r="G96" s="8"/>
      <c r="H96" s="8"/>
      <c r="I96" s="8" t="str">
        <f t="array" ref="I96">_xlfn.SWITCH(H96,"XS",1,"S",2,"M",3,"L",5,"XL",8,"XXL",13,"XXXL",21,"")</f>
        <v/>
      </c>
      <c r="J96" s="8"/>
      <c r="K96" s="8"/>
      <c r="L96" s="8"/>
    </row>
    <row r="97" spans="1:12" x14ac:dyDescent="0.3">
      <c r="A97" s="8"/>
      <c r="B97" s="8"/>
      <c r="C97" s="8"/>
      <c r="D97" s="8"/>
      <c r="E97" s="8"/>
      <c r="F97" s="10"/>
      <c r="G97" s="8"/>
      <c r="H97" s="8"/>
      <c r="I97" s="8" t="str">
        <f t="array" ref="I97">_xlfn.SWITCH(H97,"XS",1,"S",2,"M",3,"L",5,"XL",8,"XXL",13,"XXXL",21,"")</f>
        <v/>
      </c>
      <c r="J97" s="8"/>
      <c r="K97" s="8"/>
      <c r="L97" s="8"/>
    </row>
    <row r="98" spans="1:12" x14ac:dyDescent="0.3">
      <c r="A98" s="8"/>
      <c r="B98" s="8"/>
      <c r="C98" s="8"/>
      <c r="D98" s="8"/>
      <c r="E98" s="8"/>
      <c r="F98" s="10"/>
      <c r="G98" s="8"/>
      <c r="H98" s="8"/>
      <c r="I98" s="8" t="str">
        <f t="array" ref="I98">_xlfn.SWITCH(H98,"XS",1,"S",2,"M",3,"L",5,"XL",8,"XXL",13,"XXXL",21,"")</f>
        <v/>
      </c>
      <c r="J98" s="8"/>
      <c r="K98" s="8"/>
      <c r="L98" s="8"/>
    </row>
    <row r="99" spans="1:12" x14ac:dyDescent="0.3">
      <c r="A99" s="8"/>
      <c r="B99" s="8"/>
      <c r="C99" s="8"/>
      <c r="D99" s="8"/>
      <c r="E99" s="8"/>
      <c r="F99" s="10"/>
      <c r="G99" s="8"/>
      <c r="H99" s="8"/>
      <c r="I99" s="8" t="str">
        <f t="array" ref="I99">_xlfn.SWITCH(H99,"XS",1,"S",2,"M",3,"L",5,"XL",8,"XXL",13,"XXXL",21,"")</f>
        <v/>
      </c>
      <c r="J99" s="8"/>
      <c r="K99" s="8"/>
      <c r="L99" s="8"/>
    </row>
    <row r="100" spans="1:12" x14ac:dyDescent="0.3">
      <c r="A100" s="8"/>
      <c r="B100" s="8"/>
      <c r="C100" s="8"/>
      <c r="D100" s="8"/>
      <c r="E100" s="8"/>
      <c r="F100" s="10"/>
      <c r="G100" s="8"/>
      <c r="H100" s="8"/>
      <c r="I100" s="8" t="str">
        <f t="array" ref="I100">_xlfn.SWITCH(H100,"XS",1,"S",2,"M",3,"L",5,"XL",8,"XXL",13,"XXXL",21,"")</f>
        <v/>
      </c>
      <c r="J100" s="8"/>
      <c r="K100" s="8"/>
      <c r="L100" s="8"/>
    </row>
    <row r="101" spans="1:12" x14ac:dyDescent="0.3">
      <c r="A101" s="8"/>
      <c r="B101" s="8"/>
      <c r="C101" s="8"/>
      <c r="D101" s="8"/>
      <c r="E101" s="8"/>
      <c r="F101" s="10"/>
      <c r="G101" s="8"/>
      <c r="H101" s="8"/>
      <c r="I101" s="8" t="str">
        <f t="array" ref="I101">_xlfn.SWITCH(H101,"XS",1,"S",2,"M",3,"L",5,"XL",8,"XXL",13,"XXXL",21,"")</f>
        <v/>
      </c>
      <c r="J101" s="8"/>
      <c r="K101" s="8"/>
      <c r="L101" s="8"/>
    </row>
    <row r="102" spans="1:12" x14ac:dyDescent="0.3">
      <c r="A102" s="8"/>
      <c r="B102" s="8"/>
      <c r="C102" s="8"/>
      <c r="D102" s="8"/>
      <c r="E102" s="8"/>
      <c r="F102" s="10"/>
      <c r="G102" s="8"/>
      <c r="H102" s="8"/>
      <c r="I102" s="8" t="str">
        <f t="array" ref="I102">_xlfn.SWITCH(H102,"XS",1,"S",2,"M",3,"L",5,"XL",8,"XXL",13,"XXXL",21,"")</f>
        <v/>
      </c>
      <c r="J102" s="8"/>
      <c r="K102" s="8"/>
      <c r="L102" s="8"/>
    </row>
    <row r="103" spans="1:12" x14ac:dyDescent="0.3">
      <c r="A103" s="8"/>
      <c r="B103" s="8"/>
      <c r="C103" s="8"/>
      <c r="D103" s="8"/>
      <c r="E103" s="8"/>
      <c r="F103" s="10"/>
      <c r="G103" s="8"/>
      <c r="H103" s="8"/>
      <c r="I103" s="8" t="str">
        <f t="array" ref="I103">_xlfn.SWITCH(H103,"XS",1,"S",2,"M",3,"L",5,"XL",8,"XXL",13,"XXXL",21,"")</f>
        <v/>
      </c>
      <c r="J103" s="8"/>
      <c r="K103" s="8"/>
      <c r="L103" s="8"/>
    </row>
    <row r="104" spans="1:12" x14ac:dyDescent="0.3">
      <c r="A104" s="8"/>
      <c r="B104" s="8"/>
      <c r="C104" s="8"/>
      <c r="D104" s="8"/>
      <c r="E104" s="8"/>
      <c r="F104" s="10"/>
      <c r="G104" s="8"/>
      <c r="H104" s="8"/>
      <c r="I104" s="8" t="str">
        <f t="array" ref="I104">_xlfn.SWITCH(H104,"XS",1,"S",2,"M",3,"L",5,"XL",8,"XXL",13,"XXXL",21,"")</f>
        <v/>
      </c>
      <c r="J104" s="8"/>
      <c r="K104" s="8"/>
      <c r="L104" s="8"/>
    </row>
    <row r="105" spans="1:12" x14ac:dyDescent="0.3">
      <c r="A105" s="8"/>
      <c r="B105" s="8"/>
      <c r="C105" s="8"/>
      <c r="D105" s="8"/>
      <c r="E105" s="8"/>
      <c r="F105" s="10"/>
      <c r="G105" s="8"/>
      <c r="H105" s="8"/>
      <c r="I105" s="8" t="str">
        <f t="array" ref="I105">_xlfn.SWITCH(H105,"XS",1,"S",2,"M",3,"L",5,"XL",8,"XXL",13,"XXXL",21,"")</f>
        <v/>
      </c>
      <c r="J105" s="8"/>
      <c r="K105" s="8"/>
      <c r="L105" s="8"/>
    </row>
    <row r="106" spans="1:12" x14ac:dyDescent="0.3">
      <c r="A106" s="8"/>
      <c r="B106" s="8"/>
      <c r="C106" s="8"/>
      <c r="D106" s="8"/>
      <c r="E106" s="8"/>
      <c r="F106" s="10"/>
      <c r="G106" s="8"/>
      <c r="H106" s="8"/>
      <c r="I106" s="8" t="str">
        <f t="array" ref="I106">_xlfn.SWITCH(H106,"XS",1,"S",2,"M",3,"L",5,"XL",8,"XXL",13,"XXXL",21,"")</f>
        <v/>
      </c>
      <c r="J106" s="8"/>
      <c r="K106" s="8"/>
      <c r="L106" s="8"/>
    </row>
    <row r="107" spans="1:12" x14ac:dyDescent="0.3">
      <c r="A107" s="8"/>
      <c r="B107" s="8"/>
      <c r="C107" s="8"/>
      <c r="D107" s="8"/>
      <c r="E107" s="8"/>
      <c r="F107" s="10"/>
      <c r="G107" s="8"/>
      <c r="H107" s="8"/>
      <c r="I107" s="8" t="str">
        <f t="array" ref="I107">_xlfn.SWITCH(H107,"XS",1,"S",2,"M",3,"L",5,"XL",8,"XXL",13,"XXXL",21,"")</f>
        <v/>
      </c>
      <c r="J107" s="8"/>
      <c r="K107" s="8"/>
      <c r="L107" s="8"/>
    </row>
    <row r="108" spans="1:12" x14ac:dyDescent="0.3">
      <c r="A108" s="8"/>
      <c r="B108" s="8"/>
      <c r="C108" s="8"/>
      <c r="D108" s="8"/>
      <c r="E108" s="8"/>
      <c r="F108" s="10"/>
      <c r="G108" s="8"/>
      <c r="H108" s="8"/>
      <c r="I108" s="8" t="str">
        <f t="array" ref="I108">_xlfn.SWITCH(H108,"XS",1,"S",2,"M",3,"L",5,"XL",8,"XXL",13,"XXXL",21,"")</f>
        <v/>
      </c>
      <c r="J108" s="8"/>
      <c r="K108" s="8"/>
      <c r="L108" s="8"/>
    </row>
    <row r="109" spans="1:12" x14ac:dyDescent="0.3">
      <c r="A109" s="8"/>
      <c r="B109" s="8"/>
      <c r="C109" s="8"/>
      <c r="D109" s="8"/>
      <c r="E109" s="8"/>
      <c r="F109" s="10"/>
      <c r="G109" s="8"/>
      <c r="H109" s="8"/>
      <c r="I109" s="8" t="str">
        <f t="array" ref="I109">_xlfn.SWITCH(H109,"XS",1,"S",2,"M",3,"L",5,"XL",8,"XXL",13,"XXXL",21,"")</f>
        <v/>
      </c>
      <c r="J109" s="8"/>
      <c r="K109" s="8"/>
      <c r="L109" s="8"/>
    </row>
    <row r="110" spans="1:12" x14ac:dyDescent="0.3">
      <c r="A110" s="8"/>
      <c r="B110" s="8"/>
      <c r="C110" s="8"/>
      <c r="D110" s="8"/>
      <c r="E110" s="8"/>
      <c r="F110" s="10"/>
      <c r="G110" s="8"/>
      <c r="H110" s="8"/>
      <c r="I110" s="8" t="str">
        <f t="array" ref="I110">_xlfn.SWITCH(H110,"XS",1,"S",2,"M",3,"L",5,"XL",8,"XXL",13,"XXXL",21,"")</f>
        <v/>
      </c>
      <c r="J110" s="8"/>
      <c r="K110" s="8"/>
      <c r="L110" s="8"/>
    </row>
    <row r="111" spans="1:12" x14ac:dyDescent="0.3">
      <c r="A111" s="8"/>
      <c r="B111" s="8"/>
      <c r="C111" s="8"/>
      <c r="D111" s="8"/>
      <c r="E111" s="8"/>
      <c r="F111" s="10"/>
      <c r="G111" s="8"/>
      <c r="H111" s="8"/>
      <c r="I111" s="8" t="str">
        <f t="array" ref="I111">_xlfn.SWITCH(H111,"XS",1,"S",2,"M",3,"L",5,"XL",8,"XXL",13,"XXXL",21,"")</f>
        <v/>
      </c>
      <c r="J111" s="8"/>
      <c r="K111" s="8"/>
      <c r="L111"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activeCell="F10" sqref="F10"/>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ols>
  <sheetData>
    <row r="1" spans="1:12" ht="43.2" x14ac:dyDescent="0.3">
      <c r="A1" s="2" t="s">
        <v>12</v>
      </c>
      <c r="B1" s="2" t="s">
        <v>62</v>
      </c>
      <c r="C1" s="1" t="s">
        <v>13</v>
      </c>
      <c r="D1" s="1" t="s">
        <v>14</v>
      </c>
      <c r="E1" s="1" t="s">
        <v>15</v>
      </c>
    </row>
    <row r="2" spans="1:12" x14ac:dyDescent="0.3">
      <c r="A2" s="2">
        <v>0</v>
      </c>
      <c r="B2" s="14">
        <v>46251</v>
      </c>
      <c r="C2" s="4">
        <f>75-SUM(E$2:E2)</f>
        <v>75</v>
      </c>
      <c r="D2" s="1">
        <f>75*(1-(A2/8))</f>
        <v>75</v>
      </c>
      <c r="E2" s="1">
        <v>0</v>
      </c>
    </row>
    <row r="3" spans="1:12" x14ac:dyDescent="0.3">
      <c r="A3" s="2">
        <v>1</v>
      </c>
      <c r="B3" s="14">
        <v>46252</v>
      </c>
      <c r="C3" s="4">
        <f>75-SUM(E$2:E3)</f>
        <v>75</v>
      </c>
      <c r="D3" s="1">
        <f t="shared" ref="D3:D10" si="0">75*(1-(A3/8))</f>
        <v>65.625</v>
      </c>
      <c r="E3" s="1">
        <v>0</v>
      </c>
    </row>
    <row r="4" spans="1:12" x14ac:dyDescent="0.3">
      <c r="A4" s="2">
        <v>2</v>
      </c>
      <c r="B4" s="14">
        <v>46253</v>
      </c>
      <c r="C4" s="4">
        <f>75-SUM(E$2:E4)</f>
        <v>75</v>
      </c>
      <c r="D4" s="1">
        <f t="shared" si="0"/>
        <v>56.25</v>
      </c>
      <c r="E4" s="1">
        <v>0</v>
      </c>
      <c r="L4" s="3"/>
    </row>
    <row r="5" spans="1:12" x14ac:dyDescent="0.3">
      <c r="A5" s="2">
        <v>3</v>
      </c>
      <c r="B5" s="14">
        <v>46254</v>
      </c>
      <c r="C5" s="4">
        <f>75-SUM(E$2:E5)</f>
        <v>75</v>
      </c>
      <c r="D5" s="1">
        <f t="shared" si="0"/>
        <v>46.875</v>
      </c>
      <c r="E5" s="1">
        <v>0</v>
      </c>
    </row>
    <row r="6" spans="1:12" x14ac:dyDescent="0.3">
      <c r="A6" s="2">
        <v>4</v>
      </c>
      <c r="B6" s="14">
        <v>46255</v>
      </c>
      <c r="C6" s="4">
        <f>75-SUM(E$2:E6)</f>
        <v>75</v>
      </c>
      <c r="D6" s="1">
        <f t="shared" si="0"/>
        <v>37.5</v>
      </c>
      <c r="E6" s="1">
        <v>0</v>
      </c>
    </row>
    <row r="7" spans="1:12" x14ac:dyDescent="0.3">
      <c r="A7" s="2">
        <v>5</v>
      </c>
      <c r="B7" s="14">
        <v>46258</v>
      </c>
      <c r="C7" s="4">
        <f>75-SUM(E$2:E7)</f>
        <v>75</v>
      </c>
      <c r="D7" s="1">
        <f t="shared" si="0"/>
        <v>28.125</v>
      </c>
      <c r="E7" s="1">
        <v>0</v>
      </c>
    </row>
    <row r="8" spans="1:12" x14ac:dyDescent="0.3">
      <c r="A8" s="2">
        <v>6</v>
      </c>
      <c r="B8" s="14">
        <v>46259</v>
      </c>
      <c r="C8" s="4">
        <f>75-SUM(E$2:E8)</f>
        <v>75</v>
      </c>
      <c r="D8" s="1">
        <f t="shared" si="0"/>
        <v>18.75</v>
      </c>
      <c r="E8" s="1">
        <v>0</v>
      </c>
    </row>
    <row r="9" spans="1:12" x14ac:dyDescent="0.3">
      <c r="A9" s="2">
        <v>7</v>
      </c>
      <c r="B9" s="14">
        <v>46260</v>
      </c>
      <c r="C9" s="4">
        <f>75-SUM(E$2:E9)</f>
        <v>75</v>
      </c>
      <c r="D9" s="1">
        <f t="shared" si="0"/>
        <v>9.375</v>
      </c>
      <c r="E9" s="1">
        <v>0</v>
      </c>
    </row>
    <row r="10" spans="1:12" x14ac:dyDescent="0.3">
      <c r="A10" s="2">
        <v>8</v>
      </c>
      <c r="B10" s="14">
        <v>46261</v>
      </c>
      <c r="C10" s="4">
        <f>75-SUM(E$2:E10)</f>
        <v>75</v>
      </c>
      <c r="D10" s="1">
        <f t="shared" si="0"/>
        <v>0</v>
      </c>
      <c r="E10" s="1">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01</vt:lpstr>
      <vt:lpstr>Sprint 01 Burndown</vt:lpstr>
      <vt:lpstr>Sprint 02</vt:lpstr>
      <vt:lpstr>Sprint 02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2026-08-27T07:45:28Z</dcterms:modified>
</cp:coreProperties>
</file>