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2CA2C8B7-F614-444B-8762-C8F096F11AE6}"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C10" i="6"/>
  <c r="C3" i="6"/>
  <c r="C4" i="6"/>
  <c r="C5" i="6"/>
  <c r="C6" i="6"/>
  <c r="C7" i="6"/>
  <c r="C8" i="6"/>
  <c r="C9" i="6"/>
  <c r="D2" i="6"/>
  <c r="C2" i="6"/>
  <c r="I17" i="5" a="1"/>
  <c r="I17" i="5" s="1"/>
  <c r="I15" i="5" a="1"/>
  <c r="I15" i="5" s="1"/>
  <c r="I16" i="5" a="1"/>
  <c r="I16" i="5" s="1"/>
  <c r="I14" i="5" a="1"/>
  <c r="I14" i="5" s="1"/>
  <c r="I13" i="5" a="1"/>
  <c r="I13" i="5" s="1"/>
  <c r="I8" i="5" a="1"/>
  <c r="I8" i="5" s="1"/>
  <c r="I3" i="5" a="1"/>
  <c r="I3" i="5" s="1"/>
  <c r="I4" i="5" a="1"/>
  <c r="I4" i="5" s="1"/>
  <c r="I5" i="5" a="1"/>
  <c r="I5" i="5" s="1"/>
  <c r="I6" i="5" a="1"/>
  <c r="I6" i="5" s="1"/>
  <c r="I7" i="5" a="1"/>
  <c r="I7" i="5" s="1"/>
  <c r="I9" i="5" a="1"/>
  <c r="I9" i="5" s="1"/>
  <c r="I10" i="5" a="1"/>
  <c r="I10" i="5" s="1"/>
  <c r="I11" i="5" a="1"/>
  <c r="I11" i="5" s="1"/>
  <c r="I12" i="5" a="1"/>
  <c r="I12" i="5" s="1"/>
  <c r="I113" i="5" a="1"/>
  <c r="I113" i="5" s="1"/>
  <c r="I112" i="5" a="1"/>
  <c r="I112" i="5" s="1"/>
  <c r="I111" i="5" a="1"/>
  <c r="I111" i="5" s="1"/>
  <c r="I110" i="5" a="1"/>
  <c r="I110" i="5" s="1"/>
  <c r="I109" i="5" a="1"/>
  <c r="I109" i="5" s="1"/>
  <c r="I108" i="5" a="1"/>
  <c r="I108" i="5" s="1"/>
  <c r="I107" i="5" a="1"/>
  <c r="I107" i="5" s="1"/>
  <c r="I106" i="5" a="1"/>
  <c r="I106" i="5" s="1"/>
  <c r="I105" i="5"/>
  <c r="I105" i="5" a="1"/>
  <c r="I104" i="5" a="1"/>
  <c r="I104" i="5" s="1"/>
  <c r="I103" i="5" a="1"/>
  <c r="I103" i="5" s="1"/>
  <c r="I102" i="5"/>
  <c r="I102" i="5" a="1"/>
  <c r="I101" i="5" a="1"/>
  <c r="I101" i="5" s="1"/>
  <c r="I100" i="5" a="1"/>
  <c r="I100" i="5" s="1"/>
  <c r="I99" i="5" a="1"/>
  <c r="I99" i="5" s="1"/>
  <c r="I98" i="5" a="1"/>
  <c r="I98" i="5" s="1"/>
  <c r="I97" i="5" a="1"/>
  <c r="I97" i="5" s="1"/>
  <c r="I96" i="5" a="1"/>
  <c r="I96" i="5" s="1"/>
  <c r="I95" i="5" a="1"/>
  <c r="I95" i="5" s="1"/>
  <c r="I94" i="5" a="1"/>
  <c r="I94" i="5" s="1"/>
  <c r="I93" i="5" a="1"/>
  <c r="I93" i="5" s="1"/>
  <c r="I92" i="5" a="1"/>
  <c r="I92" i="5" s="1"/>
  <c r="I91" i="5"/>
  <c r="I91" i="5" a="1"/>
  <c r="I90" i="5" a="1"/>
  <c r="I90" i="5" s="1"/>
  <c r="I89" i="5"/>
  <c r="I89" i="5" a="1"/>
  <c r="I88" i="5" a="1"/>
  <c r="I88" i="5" s="1"/>
  <c r="I87" i="5" a="1"/>
  <c r="I87" i="5" s="1"/>
  <c r="I86" i="5" a="1"/>
  <c r="I86" i="5" s="1"/>
  <c r="I85" i="5" a="1"/>
  <c r="I85" i="5" s="1"/>
  <c r="I84" i="5" a="1"/>
  <c r="I84" i="5" s="1"/>
  <c r="I83" i="5" a="1"/>
  <c r="I83" i="5" s="1"/>
  <c r="I82" i="5" a="1"/>
  <c r="I82" i="5" s="1"/>
  <c r="I81" i="5" a="1"/>
  <c r="I81" i="5" s="1"/>
  <c r="I80" i="5" a="1"/>
  <c r="I80" i="5" s="1"/>
  <c r="I79" i="5"/>
  <c r="I79" i="5" a="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c r="I37" i="5" a="1"/>
  <c r="I36" i="5" a="1"/>
  <c r="I36" i="5" s="1"/>
  <c r="I35" i="5" a="1"/>
  <c r="I35" i="5" s="1"/>
  <c r="I34" i="5" a="1"/>
  <c r="I34" i="5" s="1"/>
  <c r="I33" i="5" a="1"/>
  <c r="I33" i="5" s="1"/>
  <c r="I32" i="5" a="1"/>
  <c r="I32" i="5" s="1"/>
  <c r="I31" i="5" a="1"/>
  <c r="I31" i="5" s="1"/>
  <c r="I30" i="5" a="1"/>
  <c r="I30" i="5" s="1"/>
  <c r="I29" i="5" a="1"/>
  <c r="I29" i="5" s="1"/>
  <c r="I28" i="5" a="1"/>
  <c r="I28" i="5" s="1"/>
  <c r="I27" i="5" a="1"/>
  <c r="I27"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<sst xmlns="http://schemas.openxmlformats.org/spreadsheetml/2006/main" count="305" uniqueCount="118">
  <si>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</si>
  <si>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</si>
  <si>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</si>
  <si>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</si>
  <si>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</si>
  <si>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</si>
  <si>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</si>
  <si>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</si>
  <si>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</si>
  <si>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</si>
  <si>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</si>
  <si>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</si>
  <si>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</si>
  <si>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</si>
  <si>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</si>
  <si>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</si>
  <si>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</si>
  <si>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</si>
  <si>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</si>
  <si>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</si>
  <si>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</si>
  <si>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</si>
  <si>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</si>
  <si>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</si>
  <si>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</si>
  <si>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</si>
  <si>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</si>
  <si>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</si>
  <si>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</si>
  <si>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</si>
  <si>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</si>
  <si>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</si>
  <si>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</si>
  <si>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</si>
  <si>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</si>
  <si>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</si>
  <si>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</si>
  <si>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</si>
  <si>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</si>
  <si>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</si>
  <si>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</si>
  <si>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</si>
  <si>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</si>
  <si>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</si>
  <si>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</si>
  <si>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</si>
  <si>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</si>
  <si>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</si>
  <si>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</si>
  <si>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</si>
  <si>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</si>
  <si>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</si>
  <si>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</si>
  <si>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</si>
  <si>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</si>
  <si>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</si>
  <si>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</si>
  <si>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</si>
  <si>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</si>
  <si>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</si>
  <si>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</si>
  <si>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</si>
  <si>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</si>
  <si>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</si>
  <si>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</si>
  <si>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</si>
  <si>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</si>
  <si>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</si>
  <si>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</si>
  <si>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</si>
  <si>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</si>
  <si>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</si>
  <si>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</si>
  <si>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</si>
  <si>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</si>
  <si>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</si>
  <si>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</si>
  <si>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Upload health documents</t>
  </si>
  <si>
    <t>Implement Document Picker &amp; Upload State Management
* **Target Files**:
* `checkupp-mobile-main/app/(tabs)/wallet.tsx`
* `checkupp-mobile-main/components/UploadModal.tsx`
* **Description**:
1. Integrate the `expo-document-picker` library into the Wallet screen to allow users to select single or multiple health documents (PDFs, images) from their local device.
2. Update the existing `UploadModal.tsx` to handle the selected file objects, validating file size and MIME types locally before initiating an upload.
3. Implement local UI state to show upload progress or a loading spinner (`checkupp-mobile-main/components/LoadingSpinner.tsx`) while files are being processed.
* **Acceptance Criteria Covered**: US 6.1 (AC 1)</t>
  </si>
  <si>
    <t>ToDo</t>
  </si>
  <si>
    <t>Integrate Document Upload API Mutations &amp; Notifications
* **Target Files**:
* `checkupp-mobile-main/lib/features/documents/mutations.ts`
* `checkupp-mobile-main/app/(tabs)/wallet.tsx`
 `checkupp-mobile-main/components/CustomToast.tsx`
* **Description**:
1. Review and utilize the existing mutation hooks in `mutations.ts` to handle the 3-step upload process defined by the backend:
* Call `/me/wallet/uploads/presign` to get an upload intent.
* Upload the raw file buffer to `/me/wallet/uploads/pending` using the `objectKey`.
* Call `/me/wallet/documents` to finalize the record in the database.
2. Wrap the upload logic in a robust `try/catch` block.
3. On success, trigger a confirmation message using the `CustomToast.tsx` component and invalidate the document list query to refresh the UI.
4. On failure, trigger an error toast ("Upload failed, please try again") and ensure the UI allows the user to retry the specific failed document without affecting successful ones.
* **Acceptance Criteria Covered**: US 6.1 (AC 2, 3, 4)</t>
  </si>
  <si>
    <t>Share health documents</t>
  </si>
  <si>
    <t>Implement Native Document Sharing
* **Target Files**:
* `checkupp-mobile-main/lib/utils/shareUtils.ts` (Existing or create new)
* `checkupp-mobile-main/app/(tabs)/wallet.tsx`
* **Description**:
1. Implement a reusable function utilizing `expo-file-system` to securely download the document from its URL to a temporary local cache directory (`FileSystem.cacheDirectory`).
2. Pass the local URI to `expo-sharing` (`Sharing.shareAsync()`) to trigger the device's native sharing drawer (WhatsApp, Email, etc.).
3. Wrap in a `try/catch` block. On error, display the specific toast: "Something went wrong, please try again."
* **Acceptance Criteria Covered**: US 6.2 (AC 1, 2, 3, 4)</t>
  </si>
  <si>
    <t>Delete health documents</t>
  </si>
  <si>
    <t>Implement Document Deletion Flow
* **Target Files**:
* `checkupp-mobile-main/app/(tabs)/wallet.tsx`
* `checkupp-mobile-main/lib/features/documents/mutations.ts`
* **Description**:
1. Connect the "Delete" option in the list item to a React Native `Alert.alert` to display the confirmation prompt: "Are you sure you want to delete this file?".
2. On confirmation, trigger the delete mutation (`DELETE /me/wallet/documents/:id`).
3. On success, invalidate the React Query cache to automatically remove the item from the list.
4. On failure, show the required error toast: "File could not be deleted, please try again", ensuring the item remains in the UI.
* **Acceptance Criteria Covered**: US 6.3 (AC 1, 2, 3, 4, 5)</t>
  </si>
  <si>
    <t>Document Wallet - Links</t>
  </si>
  <si>
    <t>Add e-script links</t>
  </si>
  <si>
    <t>Implement E-Script Link Submission Form
* **Target Files**:
* `checkupp-mobile-main/app/(tabs)/wallet.tsx`
* `checkupp-mobile-main/components/FormField.tsx`
* `checkupp-mobile-main/lib/features/documents/mutations.ts`
* **Description**:
1. Create a modal or inline form utilizing `FormField.tsx` to capture a URL and a text description.
2. Use `Yup` (already in `package.json`) to validate that the input is a properly formatted URL.
3. Create a React Query mutation invoking `POST /me/wallet/links` with the payload `{ title: description, documentType: "E-SCRIPT", link: url }`.
4. Handle errors with a toast: "Link could not be saved, Try again." On success, invalidate the links query.
* **Acceptance Criteria Covered**: US 7.1 (AC 1, 3)</t>
  </si>
  <si>
    <t>View e-script links</t>
  </si>
  <si>
    <t>7.3, 7.4</t>
  </si>
  <si>
    <t>Share and delete e-script links</t>
  </si>
  <si>
    <t>Implement Native Link Sharing &amp; Deletion
* **Target Files**:
* `checkupp-mobile-main/app/(tabs)/wallet.tsx`
* `checkupp-mobile-main/lib/utils/shareUtils.ts`
* **Description**:
1. **Sharing**: Implement the share button using React Native's built-in `Share.share({ message: \`${description}: ${url}` })` method to invoke native sharing for text/links. Handle errors with the "Something went wrong..." toast.
2. **Deletion**: Implement the delete flow using an `Alert.alert` ("Are you sure you want to delete this link?"). Hook it into the exact same delete mutation used for documents (`DELETE /me/wallet/documents/:id`). Handle errors with the "Link could not be deleted..." toast.
* **Acceptance Criteria Covered**: US 7.3 (AC 1, 2, 3, 4, 5), US 7.4 (AC 1, 2, 3, 4, 5)</t>
  </si>
  <si>
    <t>Global Backend Verification</t>
  </si>
  <si>
    <t>Wallet automated testing</t>
  </si>
  <si>
    <t>### Global Backend Verification Task
*Note: The backend codebase already contains full implementations for the Wallet logic in `wallet.controller.ts`, `wallet.service.ts`, and `wallet.validation.ts`. This task ensures complete alignment with the new ACs and prevents regressions.*
E2E Test Coverage for Wallet &amp; Link Actions
* **Target Files**:
* `checkupp-api-main/tests/modules/wallet/` (Directory to be created/populated)
* `checkupp-api-main/src/modules/wallet/wallet.validation.ts`
* **Description**:
1. Write Supertest/Jest integration tests for `POST /me/wallet/documents`, `POST /me/wallet/links`, and `DELETE /me/wallet/documents/:id`.
2. Verify that deletion securely handles `userId` scoping to prevent unauthorized deletion (tenant isolation).
3. Verify that `createLinkSchema` strictly requires a valid URI pattern and returns a 400 Bad Request if the format is invalid.
4. Verify that the `deleteDocument` service correctly unlinks the file from cloud storage using `cleanupUploadedFile` when a document is deleted.</t>
  </si>
  <si>
    <t xml:space="preserve"> Direct Document Download</t>
  </si>
  <si>
    <t>6.1, 6.6</t>
  </si>
  <si>
    <t>Document List View</t>
  </si>
  <si>
    <t>Implement Document List View
* **Target Files**:
* `checkupp-mobile-main/lib/features/documents/queries.ts`
* `checkupp-mobile-main/app/(tabs)/wallet.tsx`
* **Description**:
1. Ensure `queries.ts` correctly fetches from `GET /me/wallet/documents`.
2. Design and implement a modular `DocumentListItem` component within `wallet.tsx` to map over the fetched data, displaying the document name and upload date.
3. **Implement responsive card layout:**
* **Large Screens:** Display standalone icons for "Share" and "Download", plus a vertical three-dot (kebab) menu. Expanding the kebab menu reveals "View" and "Delete".
* **Small Screens (Edge Case):** Default to showing only the "Share" icon and the kebab menu. Expanding the menu reveals "View", "Download", and "Delete".
4. Implement `checkupp-mobile-main/components/EmptyState.tsx` if the query returns an empty array.
* **Acceptance Criteria Covered**: US 6.1 (AC 5, 6), US 6.6 (AC 1, 2, 3)</t>
  </si>
  <si>
    <t xml:space="preserve"> Document Viewer Integration</t>
  </si>
  <si>
    <t>Implement Document Viewer Integration
* **Target Files**:
* `checkupp-mobile-main/app/(tabs)/wallet.tsx`
* `checkupp-mobile-main/components/DocumentViewer.tsx`
* **Description**:
1. Wire up the "View" action from the document list to trigger the existing `DocumentViewer.tsx` component.
2. Pass the `externalUrl` or `publicUrl` of the document to the viewer.
3. Implement a fallback error boundary and toast notification ("Could not open file") if the URL is invalid or the device cannot render the file type.
4. **Enforce explicit removal:** Ensure the "Download" button is strictly removed or disabled within this view screen, as downloading is now an independent card action.
* **Acceptance Criteria Covered**: US 6.4 (AC 1, 2, 3)</t>
  </si>
  <si>
    <t>Implement Direct Document Download
* **Target Files**:
* `checkupp-mobile-main/app/(tabs)/wallet.tsx`
* `checkupp-mobile-main/lib/utils/fileUtils.ts` (Existing or create new)
* **Description**:
1. Implement a download handler triggered directly from the "Download" option on the document card (or within its expanded menu).
2. Utilize `expo-file-system` to securely fetch and save the document to the user's local device storage without requiring them to open it first.
3. On success, trigger a `CustomToast.tsx` message displaying: "Download complete".
4. On failure, trigger an error message prompting the user to try again.
* **Acceptance Criteria Covered**: US 6.5 (AC 1, 2, 3, 4)</t>
  </si>
  <si>
    <t>7.1, 7.2, 7.5</t>
  </si>
  <si>
    <t>* **Target Files**:
* `checkupp-mobile-main/app/(tabs)/wallet.tsx`
* `checkupp-mobile-main/lib/features/documents/queries.ts`
* **Description**:
1. Fetch the links using `GET /me/wallet/documents` filtered by `fileType=LINK` or `documentType=E-SCRIPT`.
2. Render the links with their title/description and creation date.
3. **Implement responsive card layout:**
* **Large Screens:** Display standalone buttons for "Share", "Open", and "Delete".
* **Small Screens (Edge Case):** Display only the "Share" icon alongside a Hamburger Menu (three vertically stacked dots). Expanding the menu reveals "Open" and "Delete".
4. Wire the "Open" action to open the link using `expo-web-browser` (`WebBrowser.openBrowserAsync`).
5. Wrap the view action in a `try/catch` returning the error toast: "Could not open Expanded View, try again".
* **Acceptance Criteria Covered**: US 7.1 (AC 2, 4, 5), US 7.2 (AC 1), US 7.5 (AC 1, 2, 3)</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</si>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</sst>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10">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54</c:v>
                </c:pt>
                <c:pt idx="1">
                  <c:v>54</c:v>
                </c:pt>
                <c:pt idx="2">
                  <c:v>54</c:v>
                </c:pt>
                <c:pt idx="3">
                  <c:v>54</c:v>
                </c:pt>
                <c:pt idx="4">
                  <c:v>54</c:v>
                </c:pt>
                <c:pt idx="5">
                  <c:v>54</c:v>
                </c:pt>
                <c:pt idx="6">
                  <c:v>54</c:v>
                </c:pt>
                <c:pt idx="7">
                  <c:v>54</c:v>
                </c:pt>
                <c:pt idx="8">
                  <c:v>54</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54</c:v>
                </c:pt>
                <c:pt idx="1">
                  <c:v>47.25</c:v>
                </c:pt>
                <c:pt idx="2">
                  <c:v>40.5</c:v>
                </c:pt>
                <c:pt idx="3">
                  <c:v>33.75</c:v>
                </c:pt>
                <c:pt idx="4">
                  <c:v>27</c:v>
                </c:pt>
                <c:pt idx="5">
                  <c:v>20.25</c:v>
                </c:pt>
                <c:pt idx="6">
                  <c:v>13.5</c:v>
                </c:pt>
                <c:pt idx="7">
                  <c:v>6.75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3"/>
  <sheetViews>
    <sheetView tabSelected="1" workbookViewId="0">
      <selection activeCell="F2" sqref="F2"/>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172.8" x14ac:dyDescent="0.3">
      <c r="A2" s="15">
        <v>1</v>
      </c>
      <c r="B2" s="15" t="s">
        <v>76</v>
      </c>
      <c r="C2" s="15">
        <v>6.1</v>
      </c>
      <c r="D2" s="15" t="s">
        <v>77</v>
      </c>
      <c r="E2" s="15" t="s">
        <v>20</v>
      </c>
      <c r="F2" s="16" t="s">
        <v>78</v>
      </c>
      <c r="G2" s="15" t="s">
        <v>116</v>
      </c>
      <c r="H2" s="15" t="s">
        <v>27</v>
      </c>
      <c r="I2" s="15">
        <f t="array" ref="I2">_xlfn.SWITCH(H2,"XS",1,"S",2,"M",3,"L",5,"XL",8,"XXL",13,"XXXL",21,"")</f>
        <v>3</v>
      </c>
      <c r="J2" s="15" t="s">
        <v>79</v>
      </c>
      <c r="K2" s="15"/>
      <c r="L2" s="15"/>
    </row>
    <row r="3" spans="1:12" ht="244.8" x14ac:dyDescent="0.3">
      <c r="A3" s="15">
        <v>2</v>
      </c>
      <c r="B3" s="15" t="s">
        <v>76</v>
      </c>
      <c r="C3" s="15">
        <v>6.1</v>
      </c>
      <c r="D3" s="15" t="s">
        <v>77</v>
      </c>
      <c r="E3" s="15" t="s">
        <v>20</v>
      </c>
      <c r="F3" s="16" t="s">
        <v>80</v>
      </c>
      <c r="G3" s="15" t="s">
        <v>116</v>
      </c>
      <c r="H3" s="15" t="s">
        <v>30</v>
      </c>
      <c r="I3" s="15">
        <f t="array" ref="I3">_xlfn.SWITCH(H3,"XS",1,"S",2,"M",3,"L",5,"XL",8,"XXL",13,"XXXL",21,"")</f>
        <v>5</v>
      </c>
      <c r="J3" s="15" t="s">
        <v>79</v>
      </c>
      <c r="K3" s="15"/>
      <c r="L3" s="15"/>
    </row>
    <row r="4" spans="1:12" ht="216" x14ac:dyDescent="0.3">
      <c r="A4" s="15">
        <v>3</v>
      </c>
      <c r="B4" s="15" t="s">
        <v>76</v>
      </c>
      <c r="C4" s="15" t="s">
        <v>96</v>
      </c>
      <c r="D4" s="15" t="s">
        <v>97</v>
      </c>
      <c r="E4" s="15" t="s">
        <v>20</v>
      </c>
      <c r="F4" s="16" t="s">
        <v>98</v>
      </c>
      <c r="G4" s="15" t="s">
        <v>116</v>
      </c>
      <c r="H4" s="15" t="s">
        <v>27</v>
      </c>
      <c r="I4" s="15">
        <f t="array" ref="I4">_xlfn.SWITCH(H4,"XS",1,"S",2,"M",3,"L",5,"XL",8,"XXL",13,"XXXL",21,"")</f>
        <v>3</v>
      </c>
      <c r="J4" s="15" t="s">
        <v>79</v>
      </c>
      <c r="K4" s="15"/>
      <c r="L4" s="15"/>
    </row>
    <row r="5" spans="1:12" ht="172.8" x14ac:dyDescent="0.3">
      <c r="A5" s="15">
        <v>4</v>
      </c>
      <c r="B5" s="15" t="s">
        <v>76</v>
      </c>
      <c r="C5" s="15">
        <v>6.4</v>
      </c>
      <c r="D5" s="15" t="s">
        <v>99</v>
      </c>
      <c r="E5" s="15" t="s">
        <v>20</v>
      </c>
      <c r="F5" s="16" t="s">
        <v>100</v>
      </c>
      <c r="G5" s="15" t="s">
        <v>116</v>
      </c>
      <c r="H5" s="15" t="s">
        <v>27</v>
      </c>
      <c r="I5" s="15">
        <f t="array" ref="I5">_xlfn.SWITCH(H5,"XS",1,"S",2,"M",3,"L",5,"XL",8,"XXL",13,"XXXL",21,"")</f>
        <v>3</v>
      </c>
      <c r="J5" s="15" t="s">
        <v>79</v>
      </c>
      <c r="K5" s="15"/>
      <c r="L5" s="15"/>
    </row>
    <row r="6" spans="1:12" ht="158.4" x14ac:dyDescent="0.3">
      <c r="A6" s="15">
        <v>5</v>
      </c>
      <c r="B6" s="15" t="s">
        <v>76</v>
      </c>
      <c r="C6" s="15">
        <v>6.2</v>
      </c>
      <c r="D6" s="15" t="s">
        <v>81</v>
      </c>
      <c r="E6" s="15" t="s">
        <v>20</v>
      </c>
      <c r="F6" s="16" t="s">
        <v>82</v>
      </c>
      <c r="G6" s="15" t="s">
        <v>116</v>
      </c>
      <c r="H6" s="15" t="s">
        <v>27</v>
      </c>
      <c r="I6" s="15">
        <f t="array" ref="I6">_xlfn.SWITCH(H6,"XS",1,"S",2,"M",3,"L",5,"XL",8,"XXL",13,"XXXL",21,"")</f>
        <v>3</v>
      </c>
      <c r="J6" s="15" t="s">
        <v>79</v>
      </c>
      <c r="K6" s="15"/>
      <c r="L6" s="15"/>
    </row>
    <row r="7" spans="1:12" ht="172.8" x14ac:dyDescent="0.3">
      <c r="A7" s="15">
        <v>6</v>
      </c>
      <c r="B7" s="15" t="s">
        <v>76</v>
      </c>
      <c r="C7" s="15">
        <v>6.3</v>
      </c>
      <c r="D7" s="15" t="s">
        <v>83</v>
      </c>
      <c r="E7" s="15" t="s">
        <v>20</v>
      </c>
      <c r="F7" s="16" t="s">
        <v>84</v>
      </c>
      <c r="G7" s="15" t="s">
        <v>116</v>
      </c>
      <c r="H7" s="15" t="s">
        <v>23</v>
      </c>
      <c r="I7" s="15">
        <f t="array" ref="I7">_xlfn.SWITCH(H7,"XS",1,"S",2,"M",3,"L",5,"XL",8,"XXL",13,"XXXL",21,"")</f>
        <v>2</v>
      </c>
      <c r="J7" s="15" t="s">
        <v>79</v>
      </c>
      <c r="K7" s="15"/>
      <c r="L7" s="15"/>
    </row>
    <row r="8" spans="1:12" ht="172.8" x14ac:dyDescent="0.3">
      <c r="A8" s="15">
        <v>7</v>
      </c>
      <c r="B8" s="15" t="s">
        <v>76</v>
      </c>
      <c r="C8" s="15">
        <v>6.5</v>
      </c>
      <c r="D8" s="15" t="s">
        <v>95</v>
      </c>
      <c r="E8" s="15" t="s">
        <v>20</v>
      </c>
      <c r="F8" s="16" t="s">
        <v>101</v>
      </c>
      <c r="G8" s="15" t="s">
        <v>116</v>
      </c>
      <c r="H8" s="15" t="s">
        <v>27</v>
      </c>
      <c r="I8" s="15">
        <f t="array" ref="I8">_xlfn.SWITCH(H8,"XS",1,"S",2,"M",3,"L",5,"XL",8,"XXL",13,"XXXL",21,"")</f>
        <v>3</v>
      </c>
      <c r="J8" s="15" t="s">
        <v>79</v>
      </c>
      <c r="K8" s="15"/>
      <c r="L8" s="15"/>
    </row>
    <row r="9" spans="1:12" ht="172.8" x14ac:dyDescent="0.3">
      <c r="A9" s="17">
        <v>8</v>
      </c>
      <c r="B9" s="17" t="s">
        <v>85</v>
      </c>
      <c r="C9" s="17">
        <v>7.1</v>
      </c>
      <c r="D9" s="17" t="s">
        <v>86</v>
      </c>
      <c r="E9" s="17" t="s">
        <v>20</v>
      </c>
      <c r="F9" s="18" t="s">
        <v>87</v>
      </c>
      <c r="G9" s="17" t="s">
        <v>116</v>
      </c>
      <c r="H9" s="17" t="s">
        <v>27</v>
      </c>
      <c r="I9" s="17">
        <f t="array" ref="I9">_xlfn.SWITCH(H9,"XS",1,"S",2,"M",3,"L",5,"XL",8,"XXL",13,"XXXL",21,"")</f>
        <v>3</v>
      </c>
      <c r="J9" s="17" t="s">
        <v>79</v>
      </c>
      <c r="K9" s="17"/>
      <c r="L9" s="17"/>
    </row>
    <row r="10" spans="1:12" ht="187.2" x14ac:dyDescent="0.3">
      <c r="A10" s="17">
        <v>9</v>
      </c>
      <c r="B10" s="17" t="s">
        <v>85</v>
      </c>
      <c r="C10" s="17" t="s">
        <v>102</v>
      </c>
      <c r="D10" s="17" t="s">
        <v>88</v>
      </c>
      <c r="E10" s="17" t="s">
        <v>20</v>
      </c>
      <c r="F10" s="18" t="s">
        <v>103</v>
      </c>
      <c r="G10" s="17" t="s">
        <v>116</v>
      </c>
      <c r="H10" s="17" t="s">
        <v>27</v>
      </c>
      <c r="I10" s="17">
        <f t="array" ref="I10">_xlfn.SWITCH(H10,"XS",1,"S",2,"M",3,"L",5,"XL",8,"XXL",13,"XXXL",21,"")</f>
        <v>3</v>
      </c>
      <c r="J10" s="17" t="s">
        <v>79</v>
      </c>
      <c r="K10" s="17"/>
      <c r="L10" s="17"/>
    </row>
    <row r="11" spans="1:12" ht="158.4" x14ac:dyDescent="0.3">
      <c r="A11" s="17">
        <v>10</v>
      </c>
      <c r="B11" s="17" t="s">
        <v>85</v>
      </c>
      <c r="C11" s="17" t="s">
        <v>89</v>
      </c>
      <c r="D11" s="17" t="s">
        <v>90</v>
      </c>
      <c r="E11" s="17" t="s">
        <v>20</v>
      </c>
      <c r="F11" s="18" t="s">
        <v>91</v>
      </c>
      <c r="G11" s="17" t="s">
        <v>116</v>
      </c>
      <c r="H11" s="17" t="s">
        <v>23</v>
      </c>
      <c r="I11" s="17">
        <f t="array" ref="I11">_xlfn.SWITCH(H11,"XS",1,"S",2,"M",3,"L",5,"XL",8,"XXL",13,"XXXL",21,"")</f>
        <v>2</v>
      </c>
      <c r="J11" s="17" t="s">
        <v>79</v>
      </c>
      <c r="K11" s="17"/>
      <c r="L11" s="17"/>
    </row>
    <row r="12" spans="1:12" ht="230.4" x14ac:dyDescent="0.3">
      <c r="A12" s="19">
        <v>11</v>
      </c>
      <c r="B12" s="19" t="s">
        <v>92</v>
      </c>
      <c r="C12" s="19"/>
      <c r="D12" s="19" t="s">
        <v>93</v>
      </c>
      <c r="E12" s="19" t="s">
        <v>22</v>
      </c>
      <c r="F12" s="20" t="s">
        <v>94</v>
      </c>
      <c r="G12" s="19" t="s">
        <v>116</v>
      </c>
      <c r="H12" s="19" t="s">
        <v>30</v>
      </c>
      <c r="I12" s="19">
        <f t="array" ref="I12">_xlfn.SWITCH(H12,"XS",1,"S",2,"M",3,"L",5,"XL",8,"XXL",13,"XXXL",21,"")</f>
        <v>5</v>
      </c>
      <c r="J12" s="19" t="s">
        <v>79</v>
      </c>
      <c r="K12" s="19"/>
      <c r="L12" s="19"/>
    </row>
    <row r="13" spans="1:12" ht="201.6" x14ac:dyDescent="0.3">
      <c r="A13" s="21">
        <v>12</v>
      </c>
      <c r="B13" s="21" t="s">
        <v>104</v>
      </c>
      <c r="C13" s="21">
        <v>19.3</v>
      </c>
      <c r="D13" s="21" t="s">
        <v>105</v>
      </c>
      <c r="E13" s="21" t="s">
        <v>20</v>
      </c>
      <c r="F13" s="22" t="s">
        <v>106</v>
      </c>
      <c r="G13" s="21" t="s">
        <v>24</v>
      </c>
      <c r="H13" s="21" t="s">
        <v>27</v>
      </c>
      <c r="I13" s="21">
        <f t="array" ref="I13">_xlfn.SWITCH(H13,"XS",1,"S",2,"M",3,"L",5,"XL",8,"XXL",13,"XXXL",21,"")</f>
        <v>3</v>
      </c>
      <c r="J13" s="21" t="s">
        <v>79</v>
      </c>
      <c r="K13" s="21"/>
      <c r="L13" s="21"/>
    </row>
    <row r="14" spans="1:12" ht="244.8" x14ac:dyDescent="0.3">
      <c r="A14" s="21">
        <v>13</v>
      </c>
      <c r="B14" s="21" t="s">
        <v>104</v>
      </c>
      <c r="C14" s="21">
        <v>19.3</v>
      </c>
      <c r="D14" s="21" t="s">
        <v>107</v>
      </c>
      <c r="E14" s="21" t="s">
        <v>20</v>
      </c>
      <c r="F14" s="22" t="s">
        <v>117</v>
      </c>
      <c r="G14" s="21" t="s">
        <v>24</v>
      </c>
      <c r="H14" s="21" t="s">
        <v>30</v>
      </c>
      <c r="I14" s="21">
        <f t="array" ref="I14">_xlfn.SWITCH(H14,"XS",1,"S",2,"M",3,"L",5,"XL",8,"XXL",13,"XXXL",21,"")</f>
        <v>5</v>
      </c>
      <c r="J14" s="21" t="s">
        <v>79</v>
      </c>
      <c r="K14" s="21"/>
      <c r="L14" s="21"/>
    </row>
    <row r="15" spans="1:12" ht="273.60000000000002" x14ac:dyDescent="0.3">
      <c r="A15" s="21">
        <v>14</v>
      </c>
      <c r="B15" s="21" t="s">
        <v>108</v>
      </c>
      <c r="C15" s="21">
        <v>20.3</v>
      </c>
      <c r="D15" s="21" t="s">
        <v>109</v>
      </c>
      <c r="E15" s="21" t="s">
        <v>20</v>
      </c>
      <c r="F15" s="22" t="s">
        <v>110</v>
      </c>
      <c r="G15" s="21" t="s">
        <v>24</v>
      </c>
      <c r="H15" s="21" t="s">
        <v>30</v>
      </c>
      <c r="I15" s="21">
        <f t="array" ref="I15">_xlfn.SWITCH(H15,"XS",1,"S",2,"M",3,"L",5,"XL",8,"XXL",13,"XXXL",21,"")</f>
        <v>5</v>
      </c>
      <c r="J15" s="21" t="s">
        <v>79</v>
      </c>
      <c r="K15" s="21"/>
      <c r="L15" s="21"/>
    </row>
    <row r="16" spans="1:12" ht="187.2" x14ac:dyDescent="0.3">
      <c r="A16" s="21">
        <v>15</v>
      </c>
      <c r="B16" s="21" t="s">
        <v>108</v>
      </c>
      <c r="C16" s="21">
        <v>20.3</v>
      </c>
      <c r="D16" s="21" t="s">
        <v>111</v>
      </c>
      <c r="E16" s="21" t="s">
        <v>20</v>
      </c>
      <c r="F16" s="22" t="s">
        <v>112</v>
      </c>
      <c r="G16" s="21" t="s">
        <v>24</v>
      </c>
      <c r="H16" s="21" t="s">
        <v>27</v>
      </c>
      <c r="I16" s="21">
        <f t="array" ref="I16">_xlfn.SWITCH(H16,"XS",1,"S",2,"M",3,"L",5,"XL",8,"XXL",13,"XXXL",21,"")</f>
        <v>3</v>
      </c>
      <c r="J16" s="21" t="s">
        <v>79</v>
      </c>
      <c r="K16" s="21"/>
      <c r="L16" s="21"/>
    </row>
    <row r="17" spans="1:12" ht="158.4" x14ac:dyDescent="0.3">
      <c r="A17" s="23">
        <v>16</v>
      </c>
      <c r="B17" s="23" t="s">
        <v>113</v>
      </c>
      <c r="C17" s="23"/>
      <c r="D17" s="23" t="s">
        <v>114</v>
      </c>
      <c r="E17" s="23" t="s">
        <v>22</v>
      </c>
      <c r="F17" s="24" t="s">
        <v>115</v>
      </c>
      <c r="G17" s="23" t="s">
        <v>24</v>
      </c>
      <c r="H17" s="23" t="s">
        <v>27</v>
      </c>
      <c r="I17" s="23">
        <f t="array" ref="I17">_xlfn.SWITCH(H17,"XS",1,"S",2,"M",3,"L",5,"XL",8,"XXL",13,"XXXL",21,"")</f>
        <v>3</v>
      </c>
      <c r="J17" s="23" t="s">
        <v>79</v>
      </c>
      <c r="K17" s="23"/>
      <c r="L17" s="23"/>
    </row>
    <row r="18" spans="1:12" x14ac:dyDescent="0.3">
      <c r="A18" s="8"/>
      <c r="B18" s="8"/>
      <c r="C18" s="8"/>
      <c r="D18" s="8"/>
      <c r="E18" s="8"/>
      <c r="F18" s="10"/>
      <c r="G18" s="8"/>
      <c r="H18" s="8"/>
      <c r="I18" s="8"/>
      <c r="J18" s="8"/>
      <c r="K18" s="8"/>
      <c r="L18" s="8"/>
    </row>
    <row r="19" spans="1:12" x14ac:dyDescent="0.3">
      <c r="A19" s="8"/>
      <c r="B19" s="8"/>
      <c r="C19" s="8"/>
      <c r="D19" s="8"/>
      <c r="E19" s="8"/>
      <c r="F19" s="10"/>
      <c r="G19" s="8"/>
      <c r="H19" s="8"/>
      <c r="I19" s="8"/>
      <c r="J19" s="8"/>
      <c r="K19" s="8"/>
      <c r="L19" s="8"/>
    </row>
    <row r="20" spans="1:12" x14ac:dyDescent="0.3">
      <c r="A20" s="8"/>
      <c r="B20" s="8"/>
      <c r="C20" s="8"/>
      <c r="D20" s="8"/>
      <c r="E20" s="8"/>
      <c r="F20" s="10"/>
      <c r="G20" s="8"/>
      <c r="H20" s="8"/>
      <c r="I20" s="8"/>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c r="J25" s="8"/>
      <c r="K25" s="8"/>
      <c r="L25" s="8"/>
    </row>
    <row r="26" spans="1:12" x14ac:dyDescent="0.3">
      <c r="A26" s="8"/>
      <c r="B26" s="8"/>
      <c r="C26" s="8"/>
      <c r="D26" s="8"/>
      <c r="E26" s="8"/>
      <c r="F26" s="10"/>
      <c r="G26" s="8"/>
      <c r="H26" s="8"/>
      <c r="I26" s="8"/>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10"/>
      <c r="G32" s="8"/>
      <c r="H32" s="8"/>
      <c r="I32" s="8" t="str">
        <f t="array" ref="I32">_xlfn.SWITCH(H32,"XS",1,"S",2,"M",3,"L",5,"XL",8,"XXL",13,"XXXL",21,"")</f>
        <v/>
      </c>
      <c r="J32" s="8"/>
      <c r="K32" s="8"/>
      <c r="L32" s="8"/>
    </row>
    <row r="33" spans="1:12" x14ac:dyDescent="0.3">
      <c r="A33" s="8"/>
      <c r="B33" s="8"/>
      <c r="C33" s="8"/>
      <c r="D33" s="8"/>
      <c r="E33" s="8"/>
      <c r="F33" s="10"/>
      <c r="G33" s="8"/>
      <c r="H33" s="8"/>
      <c r="I33" s="8" t="str">
        <f t="array" ref="I33">_xlfn.SWITCH(H33,"XS",1,"S",2,"M",3,"L",5,"XL",8,"XXL",13,"XXXL",21,"")</f>
        <v/>
      </c>
      <c r="J33" s="8"/>
      <c r="K33" s="8"/>
      <c r="L33" s="8"/>
    </row>
    <row r="34" spans="1:12" x14ac:dyDescent="0.3">
      <c r="A34" s="8"/>
      <c r="B34" s="8"/>
      <c r="C34" s="8"/>
      <c r="D34" s="8"/>
      <c r="E34" s="8"/>
      <c r="F34" s="7"/>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9"/>
      <c r="G50" s="8"/>
      <c r="H50" s="8"/>
      <c r="I50" s="8" t="str">
        <f t="array" ref="I50">_xlfn.SWITCH(H50,"XS",1,"S",2,"M",3,"L",5,"XL",8,"XXL",13,"XXXL",21,"")</f>
        <v/>
      </c>
      <c r="J50" s="8"/>
      <c r="K50" s="8"/>
      <c r="L50" s="8"/>
    </row>
    <row r="51" spans="1:12" x14ac:dyDescent="0.3">
      <c r="A51" s="8"/>
      <c r="B51" s="8"/>
      <c r="C51" s="8"/>
      <c r="D51" s="8"/>
      <c r="E51" s="8"/>
      <c r="F51" s="9"/>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10"/>
      <c r="G56" s="8"/>
      <c r="H56" s="8"/>
      <c r="I56" s="8" t="str">
        <f t="array" ref="I56">_xlfn.SWITCH(H56,"XS",1,"S",2,"M",3,"L",5,"XL",8,"XXL",13,"XXXL",21,"")</f>
        <v/>
      </c>
      <c r="J56" s="8"/>
      <c r="K56" s="8"/>
      <c r="L56" s="8"/>
    </row>
    <row r="57" spans="1:12" x14ac:dyDescent="0.3">
      <c r="A57" s="8"/>
      <c r="B57" s="8"/>
      <c r="C57" s="8"/>
      <c r="D57" s="8"/>
      <c r="E57" s="8"/>
      <c r="F57" s="10"/>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9"/>
      <c r="G67" s="8"/>
      <c r="H67" s="8"/>
      <c r="I67" s="8" t="str">
        <f t="array" ref="I67">_xlfn.SWITCH(H67,"XS",1,"S",2,"M",3,"L",5,"XL",8,"XXL",13,"XXXL",21,"")</f>
        <v/>
      </c>
      <c r="J67" s="8"/>
      <c r="K67" s="8"/>
      <c r="L67" s="8"/>
    </row>
    <row r="68" spans="1:12" x14ac:dyDescent="0.3">
      <c r="A68" s="8"/>
      <c r="B68" s="8"/>
      <c r="C68" s="8"/>
      <c r="D68" s="8"/>
      <c r="E68" s="8"/>
      <c r="F68" s="9"/>
      <c r="G68" s="8"/>
      <c r="H68" s="8"/>
      <c r="I68" s="8" t="str">
        <f t="array" ref="I68">_xlfn.SWITCH(H68,"XS",1,"S",2,"M",3,"L",5,"XL",8,"XXL",13,"XXXL",21,"")</f>
        <v/>
      </c>
      <c r="J68" s="8"/>
      <c r="K68" s="8"/>
      <c r="L68" s="8"/>
    </row>
    <row r="69" spans="1:12" x14ac:dyDescent="0.3">
      <c r="A69" s="8"/>
      <c r="B69" s="8"/>
      <c r="C69" s="8"/>
      <c r="D69" s="8"/>
      <c r="E69" s="8"/>
      <c r="F69" s="7"/>
      <c r="G69" s="8"/>
      <c r="H69" s="8"/>
      <c r="I69" s="8" t="str">
        <f t="array" ref="I69">_xlfn.SWITCH(H69,"XS",1,"S",2,"M",3,"L",5,"XL",8,"XXL",13,"XXXL",21,"")</f>
        <v/>
      </c>
      <c r="J69" s="8"/>
      <c r="K69" s="8"/>
      <c r="L69" s="8"/>
    </row>
    <row r="70" spans="1:12" x14ac:dyDescent="0.3">
      <c r="A70" s="8"/>
      <c r="B70" s="8"/>
      <c r="C70" s="8"/>
      <c r="D70" s="8"/>
      <c r="E70" s="8"/>
      <c r="F70" s="9"/>
      <c r="G70" s="8"/>
      <c r="H70" s="8"/>
      <c r="I70" s="8" t="str">
        <f t="array" ref="I70">_xlfn.SWITCH(H70,"XS",1,"S",2,"M",3,"L",5,"XL",8,"XXL",13,"XXXL",21,"")</f>
        <v/>
      </c>
      <c r="J70" s="8"/>
      <c r="K70" s="8"/>
      <c r="L70" s="8"/>
    </row>
    <row r="71" spans="1:12" x14ac:dyDescent="0.3">
      <c r="A71" s="8"/>
      <c r="B71" s="8"/>
      <c r="C71" s="8"/>
      <c r="D71" s="8"/>
      <c r="E71" s="8"/>
      <c r="F71" s="7"/>
      <c r="G71" s="8"/>
      <c r="H71" s="8"/>
      <c r="I71" s="8" t="str">
        <f t="array" ref="I71">_xlfn.SWITCH(H71,"XS",1,"S",2,"M",3,"L",5,"XL",8,"XXL",13,"XXXL",21,"")</f>
        <v/>
      </c>
      <c r="J71" s="8"/>
      <c r="K71" s="8"/>
      <c r="L71" s="8"/>
    </row>
    <row r="72" spans="1:12" x14ac:dyDescent="0.3">
      <c r="A72" s="8"/>
      <c r="B72" s="8"/>
      <c r="C72" s="8"/>
      <c r="D72" s="8"/>
      <c r="E72" s="8"/>
      <c r="F72" s="7"/>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9"/>
      <c r="G76" s="8"/>
      <c r="H76" s="8"/>
      <c r="I76" s="8" t="str">
        <f t="array" ref="I76">_xlfn.SWITCH(H76,"XS",1,"S",2,"M",3,"L",5,"XL",8,"XXL",13,"XXXL",21,"")</f>
        <v/>
      </c>
      <c r="J76" s="8"/>
      <c r="K76" s="8"/>
      <c r="L76" s="8"/>
    </row>
    <row r="77" spans="1:12" x14ac:dyDescent="0.3">
      <c r="A77" s="8"/>
      <c r="B77" s="8"/>
      <c r="C77" s="8"/>
      <c r="D77" s="8"/>
      <c r="E77" s="8"/>
      <c r="F77" s="9"/>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row r="112" spans="1:12" x14ac:dyDescent="0.3">
      <c r="A112" s="8"/>
      <c r="B112" s="8"/>
      <c r="C112" s="8"/>
      <c r="D112" s="8"/>
      <c r="E112" s="8"/>
      <c r="F112" s="10"/>
      <c r="G112" s="8"/>
      <c r="H112" s="8"/>
      <c r="I112" s="8" t="str">
        <f t="array" ref="I112">_xlfn.SWITCH(H112,"XS",1,"S",2,"M",3,"L",5,"XL",8,"XXL",13,"XXXL",21,"")</f>
        <v/>
      </c>
      <c r="J112" s="8"/>
      <c r="K112" s="8"/>
      <c r="L112" s="8"/>
    </row>
    <row r="113" spans="1:12" x14ac:dyDescent="0.3">
      <c r="A113" s="8"/>
      <c r="B113" s="8"/>
      <c r="C113" s="8"/>
      <c r="D113" s="8"/>
      <c r="E113" s="8"/>
      <c r="F113" s="10"/>
      <c r="G113" s="8"/>
      <c r="H113" s="8"/>
      <c r="I113" s="8" t="str">
        <f t="array" ref="I113">_xlfn.SWITCH(H113,"XS",1,"S",2,"M",3,"L",5,"XL",8,"XXL",13,"XXXL",21,"")</f>
        <v/>
      </c>
      <c r="J113" s="8"/>
      <c r="K113" s="8"/>
      <c r="L113"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F7" sqref="F7"/>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54-SUM(E$2:E2)</f>
        <v>54</v>
      </c>
      <c r="D2" s="1">
        <f>54*(1-(A2/8))</f>
        <v>54</v>
      </c>
      <c r="E2" s="1">
        <v>0</v>
      </c>
    </row>
    <row r="3" spans="1:12" x14ac:dyDescent="0.3">
      <c r="A3" s="2">
        <v>1</v>
      </c>
      <c r="B3" s="14">
        <v>46252</v>
      </c>
      <c r="C3" s="4">
        <f>54-SUM(E$2:E3)</f>
        <v>54</v>
      </c>
      <c r="D3" s="1">
        <f t="shared" ref="D3:D10" si="0">54*(1-(A3/8))</f>
        <v>47.25</v>
      </c>
      <c r="E3" s="1">
        <v>0</v>
      </c>
    </row>
    <row r="4" spans="1:12" x14ac:dyDescent="0.3">
      <c r="A4" s="2">
        <v>2</v>
      </c>
      <c r="B4" s="14">
        <v>46253</v>
      </c>
      <c r="C4" s="4">
        <f>54-SUM(E$2:E4)</f>
        <v>54</v>
      </c>
      <c r="D4" s="1">
        <f t="shared" si="0"/>
        <v>40.5</v>
      </c>
      <c r="E4" s="1">
        <v>0</v>
      </c>
      <c r="L4" s="3"/>
    </row>
    <row r="5" spans="1:12" x14ac:dyDescent="0.3">
      <c r="A5" s="2">
        <v>3</v>
      </c>
      <c r="B5" s="14">
        <v>46254</v>
      </c>
      <c r="C5" s="4">
        <f>54-SUM(E$2:E5)</f>
        <v>54</v>
      </c>
      <c r="D5" s="1">
        <f t="shared" si="0"/>
        <v>33.75</v>
      </c>
      <c r="E5" s="1">
        <v>0</v>
      </c>
    </row>
    <row r="6" spans="1:12" x14ac:dyDescent="0.3">
      <c r="A6" s="2">
        <v>4</v>
      </c>
      <c r="B6" s="14">
        <v>46255</v>
      </c>
      <c r="C6" s="4">
        <f>54-SUM(E$2:E6)</f>
        <v>54</v>
      </c>
      <c r="D6" s="1">
        <f t="shared" si="0"/>
        <v>27</v>
      </c>
      <c r="E6" s="1">
        <v>0</v>
      </c>
    </row>
    <row r="7" spans="1:12" x14ac:dyDescent="0.3">
      <c r="A7" s="2">
        <v>5</v>
      </c>
      <c r="B7" s="14">
        <v>46258</v>
      </c>
      <c r="C7" s="4">
        <f>54-SUM(E$2:E7)</f>
        <v>54</v>
      </c>
      <c r="D7" s="1">
        <f t="shared" si="0"/>
        <v>20.25</v>
      </c>
      <c r="E7" s="1">
        <v>0</v>
      </c>
    </row>
    <row r="8" spans="1:12" x14ac:dyDescent="0.3">
      <c r="A8" s="2">
        <v>6</v>
      </c>
      <c r="B8" s="14">
        <v>46259</v>
      </c>
      <c r="C8" s="4">
        <f>54-SUM(E$2:E8)</f>
        <v>54</v>
      </c>
      <c r="D8" s="1">
        <f t="shared" si="0"/>
        <v>13.5</v>
      </c>
      <c r="E8" s="1">
        <v>0</v>
      </c>
    </row>
    <row r="9" spans="1:12" x14ac:dyDescent="0.3">
      <c r="A9" s="2">
        <v>7</v>
      </c>
      <c r="B9" s="14">
        <v>46260</v>
      </c>
      <c r="C9" s="4">
        <f>54-SUM(E$2:E9)</f>
        <v>54</v>
      </c>
      <c r="D9" s="1">
        <f t="shared" si="0"/>
        <v>6.75</v>
      </c>
      <c r="E9" s="1">
        <v>0</v>
      </c>
    </row>
    <row r="10" spans="1:12" x14ac:dyDescent="0.3">
      <c r="A10" s="2">
        <v>8</v>
      </c>
      <c r="B10" s="14">
        <v>46261</v>
      </c>
      <c r="C10" s="4">
        <f>54-SUM(E$2:E10)</f>
        <v>54</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2026-08-21T10:35:40Z</dcterms:modified>
</cp:coreProperties>
</file>