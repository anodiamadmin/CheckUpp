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GitHub\CheckUpp\Business Analysis\"/>
    </mc:Choice>
  </mc:AlternateContent>
  <xr:revisionPtr revIDLastSave="0" documentId="13_ncr:1_{3FE411C8-EA14-45C1-ABEC-A4FB492A532B}" xr6:coauthVersionLast="47" xr6:coauthVersionMax="47" xr10:uidLastSave="{00000000-0000-0000-0000-000000000000}"/>
  <bookViews>
    <workbookView xWindow="-108" yWindow="-108" windowWidth="23256" windowHeight="12456" firstSheet="3" activeTab="6" xr2:uid="{00000000-000D-0000-FFFF-FFFF00000000}"/>
  </bookViews>
  <sheets>
    <sheet name="Sprint 01" sheetId="1" r:id="rId1"/>
    <sheet name="Sprint 01 Burndown" sheetId="4" r:id="rId2"/>
    <sheet name="Sprint 02" sheetId="7" r:id="rId3"/>
    <sheet name="Sprint 02 Burndown" sheetId="6" r:id="rId4"/>
    <sheet name="Sprint 03" sheetId="5" r:id="rId5"/>
    <sheet name="Sprint 03 Burndown" sheetId="8" r:id="rId6"/>
    <sheet name="Sprint 04" sheetId="9" r:id="rId7"/>
    <sheet name="Sprint 04 Burndown" sheetId="10" r:id="rId8"/>
    <sheet name="sprint 05" sheetId="14" r:id="rId9"/>
  </sheets>
  <definedNames>
    <definedName name="_xlnm._FilterDatabase" localSheetId="0" hidden="1">'Sprint 01'!$E$1:$E$112</definedName>
    <definedName name="_xlnm._FilterDatabase" localSheetId="4" hidden="1">'Sprint 03'!$J$1:$J$103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 i="9" l="1" a="1"/>
  <c r="I7" i="9"/>
  <c r="I8" i="9" a="1"/>
  <c r="I8" i="9" s="1"/>
  <c r="I9" i="9" a="1"/>
  <c r="I9" i="9" s="1"/>
  <c r="I10" i="9" a="1"/>
  <c r="I10" i="9" s="1"/>
  <c r="I11" i="9" a="1"/>
  <c r="I11" i="9"/>
  <c r="I12" i="9" a="1"/>
  <c r="I12" i="9"/>
  <c r="I3" i="9" a="1"/>
  <c r="I3" i="9"/>
  <c r="I4" i="9" a="1"/>
  <c r="I4" i="9" s="1"/>
  <c r="I5" i="9" a="1"/>
  <c r="I5" i="9"/>
  <c r="I6" i="9" a="1"/>
  <c r="I6" i="9" s="1"/>
  <c r="I2" i="9" a="1"/>
  <c r="I2" i="9" s="1"/>
  <c r="D3" i="8"/>
  <c r="D4" i="8"/>
  <c r="D5" i="8"/>
  <c r="D6" i="8"/>
  <c r="D7" i="8"/>
  <c r="D8" i="8"/>
  <c r="D9" i="8"/>
  <c r="D10" i="8"/>
  <c r="D11" i="8"/>
  <c r="D12" i="8"/>
  <c r="D13" i="8"/>
  <c r="D14" i="8"/>
  <c r="D2" i="8"/>
  <c r="C3" i="8"/>
  <c r="C4" i="8"/>
  <c r="C5" i="8"/>
  <c r="C6" i="8"/>
  <c r="C7" i="8"/>
  <c r="C8" i="8"/>
  <c r="C9" i="8"/>
  <c r="C10" i="8"/>
  <c r="C11" i="8"/>
  <c r="C12" i="8"/>
  <c r="C13" i="8"/>
  <c r="C14" i="8"/>
  <c r="C2" i="8"/>
  <c r="I9" i="5" a="1"/>
  <c r="I9" i="5" s="1"/>
  <c r="I8" i="5" a="1"/>
  <c r="I8" i="5" s="1"/>
  <c r="I7" i="5" a="1"/>
  <c r="I7" i="5" s="1"/>
  <c r="I6" i="5" a="1"/>
  <c r="I6" i="5" s="1"/>
  <c r="I15" i="5" a="1"/>
  <c r="I15" i="5" s="1"/>
  <c r="I13" i="5" a="1"/>
  <c r="I13" i="5" s="1"/>
  <c r="I110" i="7"/>
  <c r="I110" i="7" a="1"/>
  <c r="I109" i="7"/>
  <c r="I109" i="7" a="1"/>
  <c r="I108" i="7" a="1"/>
  <c r="I108" i="7" s="1"/>
  <c r="I107" i="7" a="1"/>
  <c r="I107" i="7" s="1"/>
  <c r="I106" i="7"/>
  <c r="I106" i="7" a="1"/>
  <c r="I105" i="7"/>
  <c r="I105" i="7" a="1"/>
  <c r="I104" i="7"/>
  <c r="I104" i="7" a="1"/>
  <c r="I103" i="7"/>
  <c r="I103" i="7" a="1"/>
  <c r="I102" i="7"/>
  <c r="I102" i="7" a="1"/>
  <c r="I101" i="7"/>
  <c r="I101" i="7" a="1"/>
  <c r="I100" i="7"/>
  <c r="I100" i="7" a="1"/>
  <c r="I99" i="7"/>
  <c r="I99" i="7" a="1"/>
  <c r="I98" i="7"/>
  <c r="I98" i="7" a="1"/>
  <c r="I97" i="7"/>
  <c r="I97" i="7" a="1"/>
  <c r="I96" i="7"/>
  <c r="I96" i="7" a="1"/>
  <c r="I95" i="7"/>
  <c r="I95" i="7" a="1"/>
  <c r="I94" i="7"/>
  <c r="I94" i="7" a="1"/>
  <c r="I93" i="7"/>
  <c r="I93" i="7" a="1"/>
  <c r="I92" i="7"/>
  <c r="I92" i="7" a="1"/>
  <c r="I91" i="7"/>
  <c r="I91" i="7" a="1"/>
  <c r="I90" i="7"/>
  <c r="I90" i="7" a="1"/>
  <c r="I89" i="7"/>
  <c r="I89" i="7" a="1"/>
  <c r="I88" i="7"/>
  <c r="I88" i="7" a="1"/>
  <c r="I87" i="7"/>
  <c r="I87" i="7" a="1"/>
  <c r="I86" i="7"/>
  <c r="I86" i="7" a="1"/>
  <c r="I85" i="7"/>
  <c r="I85" i="7" a="1"/>
  <c r="I84" i="7"/>
  <c r="I84" i="7" a="1"/>
  <c r="I83" i="7"/>
  <c r="I83" i="7" a="1"/>
  <c r="I82" i="7"/>
  <c r="I82" i="7" a="1"/>
  <c r="I81" i="7"/>
  <c r="I81" i="7" a="1"/>
  <c r="I80" i="7"/>
  <c r="I80" i="7" a="1"/>
  <c r="I79" i="7"/>
  <c r="I79" i="7" a="1"/>
  <c r="I78" i="7"/>
  <c r="I78" i="7" a="1"/>
  <c r="I77" i="7"/>
  <c r="I77" i="7" a="1"/>
  <c r="I76" i="7"/>
  <c r="I76" i="7" a="1"/>
  <c r="I75" i="7"/>
  <c r="I75" i="7" a="1"/>
  <c r="I74" i="7"/>
  <c r="I74" i="7" a="1"/>
  <c r="I73" i="7"/>
  <c r="I73" i="7" a="1"/>
  <c r="I72" i="7"/>
  <c r="I72" i="7" a="1"/>
  <c r="I71" i="7"/>
  <c r="I71" i="7" a="1"/>
  <c r="I70" i="7"/>
  <c r="I70" i="7" a="1"/>
  <c r="I69" i="7"/>
  <c r="I69" i="7" a="1"/>
  <c r="I68" i="7"/>
  <c r="I68" i="7" a="1"/>
  <c r="I67" i="7"/>
  <c r="I67" i="7" a="1"/>
  <c r="I66" i="7"/>
  <c r="I66" i="7" a="1"/>
  <c r="I65" i="7" a="1"/>
  <c r="I65" i="7" s="1"/>
  <c r="I64" i="7"/>
  <c r="I64" i="7" a="1"/>
  <c r="I63" i="7"/>
  <c r="I63" i="7" a="1"/>
  <c r="I62" i="7" a="1"/>
  <c r="I62" i="7" s="1"/>
  <c r="I61" i="7"/>
  <c r="I61" i="7" a="1"/>
  <c r="I60" i="7"/>
  <c r="I60" i="7" a="1"/>
  <c r="I59" i="7"/>
  <c r="I59" i="7" a="1"/>
  <c r="I58" i="7"/>
  <c r="I58" i="7" a="1"/>
  <c r="I57" i="7"/>
  <c r="I57" i="7" a="1"/>
  <c r="I56" i="7"/>
  <c r="I56" i="7" a="1"/>
  <c r="I55" i="7"/>
  <c r="I55" i="7" a="1"/>
  <c r="I54" i="7"/>
  <c r="I54" i="7" a="1"/>
  <c r="I53" i="7"/>
  <c r="I53" i="7" a="1"/>
  <c r="I52" i="7"/>
  <c r="I52" i="7" a="1"/>
  <c r="I51" i="7"/>
  <c r="I51" i="7" a="1"/>
  <c r="I50" i="7"/>
  <c r="I50" i="7" a="1"/>
  <c r="I49" i="7"/>
  <c r="I49" i="7" a="1"/>
  <c r="I48" i="7"/>
  <c r="I48" i="7" a="1"/>
  <c r="I47" i="7" a="1"/>
  <c r="I47" i="7" s="1"/>
  <c r="I46" i="7"/>
  <c r="I46" i="7" a="1"/>
  <c r="I45" i="7"/>
  <c r="I45" i="7" a="1"/>
  <c r="I44" i="7"/>
  <c r="I44" i="7" a="1"/>
  <c r="I43" i="7"/>
  <c r="I43" i="7" a="1"/>
  <c r="I42" i="7"/>
  <c r="I42" i="7" a="1"/>
  <c r="I41" i="7"/>
  <c r="I41" i="7" a="1"/>
  <c r="I40" i="7"/>
  <c r="I40" i="7" a="1"/>
  <c r="I39" i="7" a="1"/>
  <c r="I39" i="7" s="1"/>
  <c r="I38" i="7"/>
  <c r="I38" i="7" a="1"/>
  <c r="I37" i="7"/>
  <c r="I37" i="7" a="1"/>
  <c r="I36" i="7"/>
  <c r="I36" i="7" a="1"/>
  <c r="I35" i="7" a="1"/>
  <c r="I35" i="7" s="1"/>
  <c r="I34" i="7"/>
  <c r="I34" i="7" a="1"/>
  <c r="I33" i="7"/>
  <c r="I33" i="7" a="1"/>
  <c r="I32" i="7"/>
  <c r="I32" i="7" a="1"/>
  <c r="I31" i="7"/>
  <c r="I31" i="7" a="1"/>
  <c r="I30" i="7"/>
  <c r="I30" i="7" a="1"/>
  <c r="I29" i="7"/>
  <c r="I29" i="7" a="1"/>
  <c r="I28" i="7"/>
  <c r="I28" i="7" a="1"/>
  <c r="I27" i="7"/>
  <c r="I27" i="7" a="1"/>
  <c r="I26" i="7"/>
  <c r="I26" i="7" a="1"/>
  <c r="I25" i="7"/>
  <c r="I25" i="7" a="1"/>
  <c r="I24" i="7"/>
  <c r="I24" i="7" a="1"/>
  <c r="I21" i="7"/>
  <c r="I21" i="7" a="1"/>
  <c r="I20" i="7"/>
  <c r="I20" i="7" a="1"/>
  <c r="I19" i="7"/>
  <c r="I19" i="7" a="1"/>
  <c r="I18" i="7"/>
  <c r="I18" i="7" a="1"/>
  <c r="I17" i="7"/>
  <c r="I17" i="7" a="1"/>
  <c r="I16" i="7"/>
  <c r="I16" i="7" a="1"/>
  <c r="I15" i="7"/>
  <c r="I15" i="7" a="1"/>
  <c r="I14" i="7"/>
  <c r="I14" i="7" a="1"/>
  <c r="I13" i="7"/>
  <c r="I13" i="7" a="1"/>
  <c r="I12" i="7"/>
  <c r="I12" i="7" a="1"/>
  <c r="I11" i="7"/>
  <c r="I11" i="7" a="1"/>
  <c r="I10" i="7"/>
  <c r="I10" i="7" a="1"/>
  <c r="I9" i="7"/>
  <c r="I9" i="7" a="1"/>
  <c r="I8" i="7"/>
  <c r="I8" i="7" a="1"/>
  <c r="I7" i="7"/>
  <c r="I7" i="7" a="1"/>
  <c r="I6" i="7"/>
  <c r="I6" i="7" a="1"/>
  <c r="I5" i="7"/>
  <c r="I5" i="7" a="1"/>
  <c r="I4" i="7"/>
  <c r="I4" i="7" a="1"/>
  <c r="I3" i="7"/>
  <c r="I3" i="7" a="1"/>
  <c r="I2" i="7"/>
  <c r="I2" i="7" a="1"/>
  <c r="I3" i="5" a="1"/>
  <c r="I3" i="5" s="1"/>
  <c r="I4" i="5" a="1"/>
  <c r="I4" i="5" s="1"/>
  <c r="I5" i="5" a="1"/>
  <c r="I5" i="5" s="1"/>
  <c r="I10" i="5" a="1"/>
  <c r="I10" i="5" s="1"/>
  <c r="I11" i="5" a="1"/>
  <c r="I11" i="5" s="1"/>
  <c r="I12" i="5" a="1"/>
  <c r="I12" i="5" s="1"/>
  <c r="I14" i="5" a="1"/>
  <c r="I14" i="5" s="1"/>
  <c r="D3" i="6"/>
  <c r="D4" i="6"/>
  <c r="D5" i="6"/>
  <c r="D6" i="6"/>
  <c r="D7" i="6"/>
  <c r="D8" i="6"/>
  <c r="D9" i="6"/>
  <c r="D10" i="6"/>
  <c r="D2" i="6"/>
  <c r="C3" i="6"/>
  <c r="C4" i="6"/>
  <c r="C5" i="6"/>
  <c r="C6" i="6"/>
  <c r="C7" i="6"/>
  <c r="C8" i="6"/>
  <c r="C9" i="6"/>
  <c r="C10" i="6"/>
  <c r="C2" i="6"/>
  <c r="I103" i="5" a="1"/>
  <c r="I103" i="5" s="1"/>
  <c r="I102" i="5" a="1"/>
  <c r="I102" i="5" s="1"/>
  <c r="I101" i="5" a="1"/>
  <c r="I101" i="5" s="1"/>
  <c r="I100" i="5" a="1"/>
  <c r="I100" i="5" s="1"/>
  <c r="I99" i="5" a="1"/>
  <c r="I99" i="5" s="1"/>
  <c r="I98" i="5" a="1"/>
  <c r="I98" i="5" s="1"/>
  <c r="I97" i="5" a="1"/>
  <c r="I97" i="5" s="1"/>
  <c r="I96" i="5" a="1"/>
  <c r="I96" i="5" s="1"/>
  <c r="I95" i="5" a="1"/>
  <c r="I95" i="5" s="1"/>
  <c r="I94" i="5" a="1"/>
  <c r="I94" i="5" s="1"/>
  <c r="I93" i="5" a="1"/>
  <c r="I93" i="5" s="1"/>
  <c r="I92" i="5" a="1"/>
  <c r="I92" i="5" s="1"/>
  <c r="I91" i="5" a="1"/>
  <c r="I91" i="5" s="1"/>
  <c r="I90" i="5" a="1"/>
  <c r="I90" i="5" s="1"/>
  <c r="I89" i="5" a="1"/>
  <c r="I89" i="5" s="1"/>
  <c r="I88" i="5" a="1"/>
  <c r="I88" i="5" s="1"/>
  <c r="I87" i="5" a="1"/>
  <c r="I87" i="5" s="1"/>
  <c r="I86" i="5" a="1"/>
  <c r="I86" i="5" s="1"/>
  <c r="I85" i="5" a="1"/>
  <c r="I85" i="5" s="1"/>
  <c r="I84" i="5" a="1"/>
  <c r="I84" i="5" s="1"/>
  <c r="I83" i="5" a="1"/>
  <c r="I83" i="5" s="1"/>
  <c r="I82" i="5" a="1"/>
  <c r="I82" i="5" s="1"/>
  <c r="I81" i="5" a="1"/>
  <c r="I81" i="5" s="1"/>
  <c r="I80" i="5" a="1"/>
  <c r="I80" i="5" s="1"/>
  <c r="I79" i="5" a="1"/>
  <c r="I79" i="5" s="1"/>
  <c r="I78" i="5" a="1"/>
  <c r="I78" i="5" s="1"/>
  <c r="I77" i="5" a="1"/>
  <c r="I77" i="5" s="1"/>
  <c r="I76" i="5" a="1"/>
  <c r="I76" i="5" s="1"/>
  <c r="I75" i="5" a="1"/>
  <c r="I75" i="5" s="1"/>
  <c r="I74" i="5" a="1"/>
  <c r="I74" i="5" s="1"/>
  <c r="I73" i="5" a="1"/>
  <c r="I73" i="5" s="1"/>
  <c r="I72" i="5" a="1"/>
  <c r="I72" i="5" s="1"/>
  <c r="I71" i="5" a="1"/>
  <c r="I71" i="5" s="1"/>
  <c r="I70" i="5" a="1"/>
  <c r="I70" i="5" s="1"/>
  <c r="I69" i="5" a="1"/>
  <c r="I69" i="5" s="1"/>
  <c r="I68" i="5" a="1"/>
  <c r="I68" i="5" s="1"/>
  <c r="I67" i="5" a="1"/>
  <c r="I67" i="5" s="1"/>
  <c r="I66" i="5" a="1"/>
  <c r="I66" i="5" s="1"/>
  <c r="I65" i="5" a="1"/>
  <c r="I65" i="5" s="1"/>
  <c r="I64" i="5" a="1"/>
  <c r="I64" i="5" s="1"/>
  <c r="I63" i="5" a="1"/>
  <c r="I63" i="5" s="1"/>
  <c r="I62" i="5" a="1"/>
  <c r="I62" i="5" s="1"/>
  <c r="I61" i="5" a="1"/>
  <c r="I61" i="5" s="1"/>
  <c r="I60" i="5" a="1"/>
  <c r="I60" i="5" s="1"/>
  <c r="I59" i="5" a="1"/>
  <c r="I59" i="5" s="1"/>
  <c r="I58" i="5" a="1"/>
  <c r="I58" i="5" s="1"/>
  <c r="I57" i="5" a="1"/>
  <c r="I57" i="5" s="1"/>
  <c r="I56" i="5" a="1"/>
  <c r="I56" i="5" s="1"/>
  <c r="I55" i="5" a="1"/>
  <c r="I55" i="5" s="1"/>
  <c r="I54" i="5" a="1"/>
  <c r="I54" i="5" s="1"/>
  <c r="I53" i="5" a="1"/>
  <c r="I53" i="5" s="1"/>
  <c r="I52" i="5" a="1"/>
  <c r="I52" i="5" s="1"/>
  <c r="I51" i="5" a="1"/>
  <c r="I51" i="5" s="1"/>
  <c r="I50" i="5" a="1"/>
  <c r="I50" i="5" s="1"/>
  <c r="I49" i="5" a="1"/>
  <c r="I49" i="5" s="1"/>
  <c r="I48" i="5" a="1"/>
  <c r="I48" i="5" s="1"/>
  <c r="I47" i="5" a="1"/>
  <c r="I47" i="5" s="1"/>
  <c r="I46" i="5" a="1"/>
  <c r="I46" i="5" s="1"/>
  <c r="I45" i="5" a="1"/>
  <c r="I45" i="5" s="1"/>
  <c r="I44" i="5" a="1"/>
  <c r="I44" i="5" s="1"/>
  <c r="I43" i="5" a="1"/>
  <c r="I43" i="5" s="1"/>
  <c r="I42" i="5" a="1"/>
  <c r="I42" i="5" s="1"/>
  <c r="I41" i="5" a="1"/>
  <c r="I41" i="5" s="1"/>
  <c r="I40" i="5" a="1"/>
  <c r="I40" i="5" s="1"/>
  <c r="I39" i="5" a="1"/>
  <c r="I39" i="5" s="1"/>
  <c r="I38" i="5" a="1"/>
  <c r="I38" i="5" s="1"/>
  <c r="I37" i="5" a="1"/>
  <c r="I37" i="5" s="1"/>
  <c r="I36" i="5" a="1"/>
  <c r="I36" i="5" s="1"/>
  <c r="I35" i="5" a="1"/>
  <c r="I35" i="5" s="1"/>
  <c r="I34" i="5" a="1"/>
  <c r="I34" i="5" s="1"/>
  <c r="I33" i="5" a="1"/>
  <c r="I33" i="5" s="1"/>
  <c r="I32" i="5" a="1"/>
  <c r="I32" i="5" s="1"/>
  <c r="I31" i="5" a="1"/>
  <c r="I31" i="5" s="1"/>
  <c r="I30" i="5" a="1"/>
  <c r="I30" i="5" s="1"/>
  <c r="I29" i="5" a="1"/>
  <c r="I29" i="5" s="1"/>
  <c r="I28" i="5" a="1"/>
  <c r="I28" i="5" s="1"/>
  <c r="I27" i="5" a="1"/>
  <c r="I27" i="5" s="1"/>
  <c r="I26" i="5" a="1"/>
  <c r="I26" i="5" s="1"/>
  <c r="I25" i="5" a="1"/>
  <c r="I25" i="5" s="1"/>
  <c r="I24" i="5" a="1"/>
  <c r="I24" i="5" s="1"/>
  <c r="I23" i="5" a="1"/>
  <c r="I23" i="5" s="1"/>
  <c r="I22" i="5" a="1"/>
  <c r="I22" i="5" s="1"/>
  <c r="I21" i="5" a="1"/>
  <c r="I21" i="5" s="1"/>
  <c r="I20" i="5" a="1"/>
  <c r="I20" i="5" s="1"/>
  <c r="I19" i="5" a="1"/>
  <c r="I19" i="5" s="1"/>
  <c r="I18" i="5" a="1"/>
  <c r="I18" i="5" s="1"/>
  <c r="I17" i="5" a="1"/>
  <c r="I17" i="5" s="1"/>
  <c r="I2" i="5" a="1"/>
  <c r="I2" i="5" s="1"/>
  <c r="D10" i="4"/>
  <c r="C10" i="4"/>
  <c r="D9" i="4"/>
  <c r="C9" i="4"/>
  <c r="D8" i="4"/>
  <c r="C8" i="4"/>
  <c r="D7" i="4"/>
  <c r="C7" i="4"/>
  <c r="D6" i="4"/>
  <c r="C6" i="4"/>
  <c r="D5" i="4"/>
  <c r="C5" i="4"/>
  <c r="D4" i="4"/>
  <c r="C4" i="4"/>
  <c r="D3" i="4"/>
  <c r="C3" i="4"/>
  <c r="D2" i="4"/>
  <c r="C2" i="4"/>
  <c r="I112" i="1" a="1"/>
  <c r="I112" i="1" s="1"/>
  <c r="I111" i="1" a="1"/>
  <c r="I111" i="1" s="1"/>
  <c r="I110" i="1" a="1"/>
  <c r="I110" i="1" s="1"/>
  <c r="I109" i="1" a="1"/>
  <c r="I109" i="1" s="1"/>
  <c r="I108" i="1" a="1"/>
  <c r="I108" i="1" s="1"/>
  <c r="I107" i="1" a="1"/>
  <c r="I107" i="1" s="1"/>
  <c r="I106" i="1" a="1"/>
  <c r="I106" i="1" s="1"/>
  <c r="I105" i="1" a="1"/>
  <c r="I105" i="1" s="1"/>
  <c r="I104" i="1" a="1"/>
  <c r="I104" i="1" s="1"/>
  <c r="I103" i="1" a="1"/>
  <c r="I103" i="1" s="1"/>
  <c r="I102" i="1" a="1"/>
  <c r="I102" i="1" s="1"/>
  <c r="I101" i="1" a="1"/>
  <c r="I101" i="1" s="1"/>
  <c r="I100" i="1" a="1"/>
  <c r="I100" i="1" s="1"/>
  <c r="I99" i="1" a="1"/>
  <c r="I99" i="1" s="1"/>
  <c r="I98" i="1" a="1"/>
  <c r="I98" i="1" s="1"/>
  <c r="I97" i="1" a="1"/>
  <c r="I97" i="1" s="1"/>
  <c r="I96" i="1" a="1"/>
  <c r="I96" i="1" s="1"/>
  <c r="I95" i="1" a="1"/>
  <c r="I95" i="1" s="1"/>
  <c r="I94" i="1" a="1"/>
  <c r="I94" i="1" s="1"/>
  <c r="I93" i="1" a="1"/>
  <c r="I93" i="1" s="1"/>
  <c r="I92" i="1" a="1"/>
  <c r="I92" i="1" s="1"/>
  <c r="I91" i="1" a="1"/>
  <c r="I91" i="1" s="1"/>
  <c r="I90" i="1" a="1"/>
  <c r="I90" i="1" s="1"/>
  <c r="I89" i="1" a="1"/>
  <c r="I89" i="1" s="1"/>
  <c r="I88" i="1" a="1"/>
  <c r="I88" i="1" s="1"/>
  <c r="I87" i="1" a="1"/>
  <c r="I87" i="1" s="1"/>
  <c r="I86" i="1" a="1"/>
  <c r="I86" i="1" s="1"/>
  <c r="I85" i="1" a="1"/>
  <c r="I85" i="1" s="1"/>
  <c r="I84" i="1" a="1"/>
  <c r="I84" i="1" s="1"/>
  <c r="I83" i="1" a="1"/>
  <c r="I83" i="1" s="1"/>
  <c r="I82" i="1" a="1"/>
  <c r="I82" i="1" s="1"/>
  <c r="I81" i="1" a="1"/>
  <c r="I81" i="1" s="1"/>
  <c r="I80" i="1" a="1"/>
  <c r="I80" i="1" s="1"/>
  <c r="I79" i="1" a="1"/>
  <c r="I79" i="1" s="1"/>
  <c r="I78" i="1" a="1"/>
  <c r="I78" i="1" s="1"/>
  <c r="I77" i="1" a="1"/>
  <c r="I77" i="1" s="1"/>
  <c r="I76" i="1" a="1"/>
  <c r="I76" i="1" s="1"/>
  <c r="I75" i="1" a="1"/>
  <c r="I75" i="1" s="1"/>
  <c r="I74" i="1" a="1"/>
  <c r="I74" i="1" s="1"/>
  <c r="I73" i="1" a="1"/>
  <c r="I73" i="1" s="1"/>
  <c r="I72" i="1" a="1"/>
  <c r="I72" i="1" s="1"/>
  <c r="I71" i="1" a="1"/>
  <c r="I71" i="1" s="1"/>
  <c r="I70" i="1" a="1"/>
  <c r="I70" i="1" s="1"/>
  <c r="I69" i="1" a="1"/>
  <c r="I69" i="1" s="1"/>
  <c r="I68" i="1" a="1"/>
  <c r="I68" i="1" s="1"/>
  <c r="I67" i="1" a="1"/>
  <c r="I67" i="1" s="1"/>
  <c r="I66" i="1" a="1"/>
  <c r="I66" i="1" s="1"/>
  <c r="I65" i="1" a="1"/>
  <c r="I65" i="1" s="1"/>
  <c r="I64" i="1" a="1"/>
  <c r="I64" i="1" s="1"/>
  <c r="I63" i="1" a="1"/>
  <c r="I63" i="1" s="1"/>
  <c r="I62" i="1" a="1"/>
  <c r="I62" i="1" s="1"/>
  <c r="I61" i="1" a="1"/>
  <c r="I61" i="1" s="1"/>
  <c r="I60" i="1" a="1"/>
  <c r="I60" i="1" s="1"/>
  <c r="I59" i="1" a="1"/>
  <c r="I59" i="1" s="1"/>
  <c r="I58" i="1" a="1"/>
  <c r="I58" i="1" s="1"/>
  <c r="I57" i="1" a="1"/>
  <c r="I57" i="1" s="1"/>
  <c r="I56" i="1" a="1"/>
  <c r="I56" i="1" s="1"/>
  <c r="I55" i="1" a="1"/>
  <c r="I55" i="1" s="1"/>
  <c r="I54" i="1" a="1"/>
  <c r="I54" i="1" s="1"/>
  <c r="I53" i="1" a="1"/>
  <c r="I53" i="1" s="1"/>
  <c r="I52" i="1" a="1"/>
  <c r="I52" i="1" s="1"/>
  <c r="I51" i="1" a="1"/>
  <c r="I51" i="1" s="1"/>
  <c r="I50" i="1" a="1"/>
  <c r="I50" i="1" s="1"/>
  <c r="I49" i="1" a="1"/>
  <c r="I49" i="1" s="1"/>
  <c r="I48" i="1" a="1"/>
  <c r="I48" i="1" s="1"/>
  <c r="I47" i="1" a="1"/>
  <c r="I47" i="1" s="1"/>
  <c r="I46" i="1" a="1"/>
  <c r="I46" i="1" s="1"/>
  <c r="I45" i="1" a="1"/>
  <c r="I45" i="1" s="1"/>
  <c r="I44" i="1" a="1"/>
  <c r="I44" i="1" s="1"/>
  <c r="I43" i="1" a="1"/>
  <c r="I43" i="1" s="1"/>
  <c r="I42" i="1" a="1"/>
  <c r="I42" i="1" s="1"/>
  <c r="I41" i="1" a="1"/>
  <c r="I41" i="1" s="1"/>
  <c r="I40" i="1" a="1"/>
  <c r="I40" i="1" s="1"/>
  <c r="I39" i="1" a="1"/>
  <c r="I39" i="1" s="1"/>
  <c r="I38" i="1" a="1"/>
  <c r="I38" i="1" s="1"/>
  <c r="I37" i="1" a="1"/>
  <c r="I37" i="1" s="1"/>
  <c r="I36" i="1" a="1"/>
  <c r="I36" i="1" s="1"/>
  <c r="I35" i="1" a="1"/>
  <c r="I35" i="1" s="1"/>
  <c r="I34" i="1" a="1"/>
  <c r="I34" i="1" s="1"/>
  <c r="I33" i="1" a="1"/>
  <c r="I33" i="1" s="1"/>
  <c r="I32" i="1" a="1"/>
  <c r="I32" i="1" s="1"/>
  <c r="I31" i="1" a="1"/>
  <c r="I31" i="1" s="1"/>
  <c r="I30" i="1" a="1"/>
  <c r="I30" i="1" s="1"/>
  <c r="I29" i="1" a="1"/>
  <c r="I29" i="1" s="1"/>
  <c r="I28" i="1" a="1"/>
  <c r="I28" i="1" s="1"/>
  <c r="I27" i="1" a="1"/>
  <c r="I27" i="1" s="1"/>
  <c r="I26" i="1" a="1"/>
  <c r="I26" i="1" s="1"/>
  <c r="I25" i="1" a="1"/>
  <c r="I25" i="1" s="1"/>
  <c r="I24" i="1" a="1"/>
  <c r="I24" i="1" s="1"/>
  <c r="I23" i="1" a="1"/>
  <c r="I23" i="1" s="1"/>
  <c r="I22" i="1" a="1"/>
  <c r="I22" i="1" s="1"/>
  <c r="I21" i="1" a="1"/>
  <c r="I21" i="1" s="1"/>
  <c r="I20" i="1" a="1"/>
  <c r="I20" i="1" s="1"/>
  <c r="I19" i="1" a="1"/>
  <c r="I19" i="1" s="1"/>
  <c r="I18" i="1" a="1"/>
  <c r="I18" i="1" s="1"/>
  <c r="I17" i="1" a="1"/>
  <c r="I17" i="1" s="1"/>
  <c r="I16" i="1" a="1"/>
  <c r="I16" i="1" s="1"/>
  <c r="I15" i="1" a="1"/>
  <c r="I15" i="1" s="1"/>
  <c r="I14" i="1" a="1"/>
  <c r="I14" i="1" s="1"/>
  <c r="I13" i="1" a="1"/>
  <c r="I13" i="1" s="1"/>
  <c r="I12" i="1" a="1"/>
  <c r="I12" i="1" s="1"/>
  <c r="I11" i="1" a="1"/>
  <c r="I11" i="1" s="1"/>
  <c r="I10" i="1" a="1"/>
  <c r="I10" i="1" s="1"/>
  <c r="I9" i="1" a="1"/>
  <c r="I9" i="1" s="1"/>
  <c r="I8" i="1" a="1"/>
  <c r="I8" i="1" s="1"/>
  <c r="I7" i="1" a="1"/>
  <c r="I7" i="1" s="1"/>
  <c r="I6" i="1" a="1"/>
  <c r="I6" i="1" s="1"/>
  <c r="I5" i="1" a="1"/>
  <c r="I5" i="1" s="1"/>
  <c r="I4" i="1" a="1"/>
  <c r="I4" i="1" s="1"/>
  <c r="I3" i="1" a="1"/>
  <c r="I3" i="1" s="1"/>
  <c r="I2" i="1" a="1"/>
  <c r="I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<sst xmlns="http://schemas.openxmlformats.org/spreadsheetml/2006/main" count="546" uniqueCount="171">
  <si>
    <t>Epic</t>
  </si>
  <si>
    <t>User Story ID</t>
  </si>
  <si>
    <t>User Story (Short)</t>
  </si>
  <si>
    <t>Task</t>
  </si>
  <si>
    <t>Assigned To</t>
  </si>
  <si>
    <t>Status</t>
  </si>
  <si>
    <t>Blocker / Notes</t>
  </si>
  <si>
    <t>DoD Met?</t>
  </si>
  <si>
    <t>T-Shirt Sizing</t>
  </si>
  <si>
    <t>Story Point</t>
  </si>
  <si>
    <t>Scope</t>
  </si>
  <si>
    <t>Task #</t>
  </si>
  <si>
    <t>Days</t>
  </si>
  <si>
    <t>Actual Story Points Left</t>
  </si>
  <si>
    <t>Expected Story Points Left</t>
  </si>
  <si>
    <t>Story Points Done</t>
  </si>
  <si>
    <t>Setup</t>
  </si>
  <si>
    <t>Clone the folllowing GitHub repositories:
1. checkupp-mobile
2. checkupp-api</t>
  </si>
  <si>
    <t>All</t>
  </si>
  <si>
    <t>XS</t>
  </si>
  <si>
    <t>Frontend</t>
  </si>
  <si>
    <t>Alekhya</t>
  </si>
  <si>
    <t>Backend</t>
  </si>
  <si>
    <t>S</t>
  </si>
  <si>
    <t>Sayan</t>
  </si>
  <si>
    <t>Your Health Overview</t>
  </si>
  <si>
    <t>Setup Dev environment</t>
  </si>
  <si>
    <t>M</t>
  </si>
  <si>
    <t>View Upcoming Appointments</t>
  </si>
  <si>
    <t>Atish</t>
  </si>
  <si>
    <t>L</t>
  </si>
  <si>
    <t>Test</t>
  </si>
  <si>
    <t>Make Your Health Overview interactive and modular</t>
  </si>
  <si>
    <t>Dev environment setup</t>
  </si>
  <si>
    <t>Implement business logic for Your Health Overview</t>
  </si>
  <si>
    <t>Implement backend API for Your Health Overview</t>
  </si>
  <si>
    <t>Unit &amp; Integration tests for Your Health Overview</t>
  </si>
  <si>
    <t>View Upcoming, Due, Completed screenings</t>
  </si>
  <si>
    <r>
      <rPr>
        <b/>
        <sz val="11"/>
        <color theme="1"/>
        <rFont val="Calibri"/>
        <family val="2"/>
        <scheme val="minor"/>
      </rPr>
      <t>Extract Hardcoded "Your Health Overview" Section into a Standalone Component &amp; Import in Home Screen</t>
    </r>
    <r>
      <rPr>
        <sz val="11"/>
        <color theme="1"/>
        <rFont val="Calibri"/>
        <family val="2"/>
        <scheme val="minor"/>
      </rPr>
      <t xml:space="preserve">
- Create </t>
    </r>
    <r>
      <rPr>
        <b/>
        <sz val="11"/>
        <color theme="1"/>
        <rFont val="Calibri"/>
        <family val="2"/>
        <scheme val="minor"/>
      </rPr>
      <t>checkupp-mobile/components/home/HealthOverviewSection.tsx</t>
    </r>
    <r>
      <rPr>
        <sz val="11"/>
        <color theme="1"/>
        <rFont val="Calibri"/>
        <family val="2"/>
        <scheme val="minor"/>
      </rPr>
      <t xml:space="preserve">
- Modify </t>
    </r>
    <r>
      <rPr>
        <b/>
        <sz val="11"/>
        <color theme="1"/>
        <rFont val="Calibri"/>
        <family val="2"/>
        <scheme val="minor"/>
      </rPr>
      <t>checkupp-mobile/app/(tabs)/home.tsx</t>
    </r>
    <r>
      <rPr>
        <sz val="11"/>
        <color theme="1"/>
        <rFont val="Calibri"/>
        <family val="2"/>
        <scheme val="minor"/>
      </rPr>
      <t xml:space="preserve">
- Extract Component: Remove the entire JSX block under {/* Stats Overview */} from </t>
    </r>
    <r>
      <rPr>
        <b/>
        <sz val="11"/>
        <color theme="1"/>
        <rFont val="Calibri"/>
        <family val="2"/>
        <scheme val="minor"/>
      </rPr>
      <t>checkupp-mobile/app/(tabs)/home.tsx</t>
    </r>
    <r>
      <rPr>
        <sz val="11"/>
        <color theme="1"/>
        <rFont val="Calibri"/>
        <family val="2"/>
        <scheme val="minor"/>
      </rPr>
      <t xml:space="preserve"> (the card displaying the "Your Health Overview" title, overviewStatus subtitle, completion percentage, and upcoming count).
- Create a new modular, functional React Native component at </t>
    </r>
    <r>
      <rPr>
        <b/>
        <sz val="11"/>
        <color theme="1"/>
        <rFont val="Calibri"/>
        <family val="2"/>
        <scheme val="minor"/>
      </rPr>
      <t>checkupp-mobile/components/home/HealthOverviewSection.tsx</t>
    </r>
    <r>
      <rPr>
        <sz val="11"/>
        <color theme="1"/>
        <rFont val="Calibri"/>
        <family val="2"/>
        <scheme val="minor"/>
      </rPr>
      <t xml:space="preserve">.
- Define TypeScript interface HealthOverviewSectionProps:
TypeScript
export interface HealthOverviewSectionProps {
  overview: ScreeningOverviewData;  loading: boolean; refreshing: boolean; onPress: () =&gt; void; }
- </t>
    </r>
    <r>
      <rPr>
        <b/>
        <sz val="11"/>
        <color theme="1"/>
        <rFont val="Calibri"/>
        <family val="2"/>
        <scheme val="minor"/>
      </rPr>
      <t>Make Interactive</t>
    </r>
    <r>
      <rPr>
        <sz val="11"/>
        <color theme="1"/>
        <rFont val="Calibri"/>
        <family val="2"/>
        <scheme val="minor"/>
      </rPr>
      <t xml:space="preserve">: Wrap the outermost white card container (bg-white rounded-xl border border-gray-100) in a TouchableOpacity with activeOpacity={0.7} and assign onPress={onPress}.
- </t>
    </r>
    <r>
      <rPr>
        <sz val="11"/>
        <color theme="1" tint="4.9989318521683403E-2"/>
        <rFont val="Calibri"/>
        <family val="2"/>
        <scheme val="minor"/>
      </rPr>
      <t xml:space="preserve">Add a visual affordance: Text - "See more" + subtle chevron-forward (&gt;) icon from </t>
    </r>
    <r>
      <rPr>
        <b/>
        <sz val="11"/>
        <color theme="1" tint="4.9989318521683403E-2"/>
        <rFont val="Calibri"/>
        <family val="2"/>
        <scheme val="minor"/>
      </rPr>
      <t>@expo/vector-icons/Ionicons</t>
    </r>
    <r>
      <rPr>
        <sz val="11"/>
        <color theme="1" tint="4.9989318521683403E-2"/>
        <rFont val="Calibri"/>
        <family val="2"/>
        <scheme val="minor"/>
      </rPr>
      <t>, so users understand the card is tappable. Render this at the bottom of the card, aligned center.</t>
    </r>
    <r>
      <rPr>
        <sz val="11"/>
        <color theme="1"/>
        <rFont val="Calibri"/>
        <family val="2"/>
        <scheme val="minor"/>
      </rPr>
      <t xml:space="preserve">
- Refactor Home Screen: In </t>
    </r>
    <r>
      <rPr>
        <b/>
        <sz val="11"/>
        <color theme="1"/>
        <rFont val="Calibri"/>
        <family val="2"/>
        <scheme val="minor"/>
      </rPr>
      <t>checkupp-mobile/app/(tabs)/home.tsx</t>
    </r>
    <r>
      <rPr>
        <sz val="11"/>
        <color theme="1"/>
        <rFont val="Calibri"/>
        <family val="2"/>
        <scheme val="minor"/>
      </rPr>
      <t xml:space="preserve">, </t>
    </r>
    <r>
      <rPr>
        <b/>
        <sz val="11"/>
        <color theme="1"/>
        <rFont val="Calibri"/>
        <family val="2"/>
        <scheme val="minor"/>
      </rPr>
      <t>import HealthOverviewSection from @/components/home/HealthOverviewSection</t>
    </r>
    <r>
      <rPr>
        <sz val="11"/>
        <color theme="1"/>
        <rFont val="Calibri"/>
        <family val="2"/>
        <scheme val="minor"/>
      </rPr>
      <t>.
- Replace the extracted hardcoded block with:
TypeScript
&lt;HealthOverviewSection
  overview={overview} loading={loading} refreshing={refreshing} onPress={() =&gt; router.push("/health-overview")} /&gt;
- Ensure all responsive scaling utilities (</t>
    </r>
    <r>
      <rPr>
        <b/>
        <sz val="11"/>
        <color theme="1"/>
        <rFont val="Calibri"/>
        <family val="2"/>
        <scheme val="minor"/>
      </rPr>
      <t>scale</t>
    </r>
    <r>
      <rPr>
        <sz val="11"/>
        <color theme="1"/>
        <rFont val="Calibri"/>
        <family val="2"/>
        <scheme val="minor"/>
      </rPr>
      <t xml:space="preserve">, </t>
    </r>
    <r>
      <rPr>
        <b/>
        <sz val="11"/>
        <color theme="1"/>
        <rFont val="Calibri"/>
        <family val="2"/>
        <scheme val="minor"/>
      </rPr>
      <t>verticalScale</t>
    </r>
    <r>
      <rPr>
        <sz val="11"/>
        <color theme="1"/>
        <rFont val="Calibri"/>
        <family val="2"/>
        <scheme val="minor"/>
      </rPr>
      <t xml:space="preserve">, </t>
    </r>
    <r>
      <rPr>
        <b/>
        <sz val="11"/>
        <color theme="1"/>
        <rFont val="Calibri"/>
        <family val="2"/>
        <scheme val="minor"/>
      </rPr>
      <t>getFontSize</t>
    </r>
    <r>
      <rPr>
        <sz val="11"/>
        <color theme="1"/>
        <rFont val="Calibri"/>
        <family val="2"/>
        <scheme val="minor"/>
      </rPr>
      <t xml:space="preserve">, </t>
    </r>
    <r>
      <rPr>
        <b/>
        <sz val="11"/>
        <color theme="1"/>
        <rFont val="Calibri"/>
        <family val="2"/>
        <scheme val="minor"/>
      </rPr>
      <t>getSpacing</t>
    </r>
    <r>
      <rPr>
        <sz val="11"/>
        <color theme="1"/>
        <rFont val="Calibri"/>
        <family val="2"/>
        <scheme val="minor"/>
      </rPr>
      <t xml:space="preserve">) and NativeWind/Tailwind classes are imported cleanly in </t>
    </r>
    <r>
      <rPr>
        <b/>
        <sz val="11"/>
        <color theme="1"/>
        <rFont val="Calibri"/>
        <family val="2"/>
        <scheme val="minor"/>
      </rPr>
      <t>HealthOverviewSection.tsx</t>
    </r>
    <r>
      <rPr>
        <sz val="11"/>
        <color theme="1"/>
        <rFont val="Calibri"/>
        <family val="2"/>
        <scheme val="minor"/>
      </rPr>
      <t xml:space="preserve"> with zero visual regression.</t>
    </r>
  </si>
  <si>
    <t>1.1, 1.6</t>
  </si>
  <si>
    <t>1.2, 1.3, 1.4, 1.5</t>
  </si>
  <si>
    <t>1.1, 1.2, 1.3, 1.4, 1.8</t>
  </si>
  <si>
    <t>1.1, 1.2, 1.3, 1.4, 1.6, 1.7</t>
  </si>
  <si>
    <t>1.1, 1.2, 1.3, 1.4, 1.7</t>
  </si>
  <si>
    <r>
      <rPr>
        <b/>
        <sz val="11"/>
        <color theme="1"/>
        <rFont val="Calibri"/>
        <family val="2"/>
        <scheme val="minor"/>
      </rPr>
      <t>Automated Unit &amp; Integration Test Suite for Overview Date Boundaries &amp; Overdue Flags</t>
    </r>
    <r>
      <rPr>
        <sz val="11"/>
        <color theme="1"/>
        <rFont val="Calibri"/>
        <family val="2"/>
        <scheme val="minor"/>
      </rPr>
      <t xml:space="preserve">
1.</t>
    </r>
    <r>
      <rPr>
        <b/>
        <sz val="11"/>
        <color theme="1"/>
        <rFont val="Calibri"/>
        <family val="2"/>
        <scheme val="minor"/>
      </rPr>
      <t xml:space="preserve"> </t>
    </r>
    <r>
      <rPr>
        <sz val="11"/>
        <color theme="1"/>
        <rFont val="Calibri"/>
        <family val="2"/>
        <scheme val="minor"/>
      </rPr>
      <t xml:space="preserve">Create </t>
    </r>
    <r>
      <rPr>
        <b/>
        <sz val="11"/>
        <color theme="1"/>
        <rFont val="Calibri"/>
        <family val="2"/>
        <scheme val="minor"/>
      </rPr>
      <t>checkupp-api/tests/modules/screenings/overview-sorting-and-cycles.test.ts</t>
    </r>
    <r>
      <rPr>
        <sz val="11"/>
        <color theme="1"/>
        <rFont val="Calibri"/>
        <family val="2"/>
        <scheme val="minor"/>
      </rPr>
      <t xml:space="preserve">
2. Use </t>
    </r>
    <r>
      <rPr>
        <b/>
        <sz val="11"/>
        <color theme="1"/>
        <rFont val="Calibri"/>
        <family val="2"/>
        <scheme val="minor"/>
      </rPr>
      <t>Jest</t>
    </r>
    <r>
      <rPr>
        <sz val="11"/>
        <color theme="1"/>
        <rFont val="Calibri"/>
        <family val="2"/>
        <scheme val="minor"/>
      </rPr>
      <t xml:space="preserve"> and </t>
    </r>
    <r>
      <rPr>
        <b/>
        <sz val="11"/>
        <color theme="1"/>
        <rFont val="Calibri"/>
        <family val="2"/>
        <scheme val="minor"/>
      </rPr>
      <t>supertest</t>
    </r>
    <r>
      <rPr>
        <sz val="11"/>
        <color theme="1"/>
        <rFont val="Calibri"/>
        <family val="2"/>
        <scheme val="minor"/>
      </rPr>
      <t xml:space="preserve"> against the Express server instance.
3. Seed test database with a mock user (</t>
    </r>
    <r>
      <rPr>
        <b/>
        <sz val="11"/>
        <color theme="1"/>
        <rFont val="Calibri"/>
        <family val="2"/>
        <scheme val="minor"/>
      </rPr>
      <t>user-test-uuid</t>
    </r>
    <r>
      <rPr>
        <sz val="11"/>
        <color theme="1"/>
        <rFont val="Calibri"/>
        <family val="2"/>
        <scheme val="minor"/>
      </rPr>
      <t xml:space="preserve">)
4. </t>
    </r>
    <r>
      <rPr>
        <b/>
        <sz val="11"/>
        <color theme="1"/>
        <rFont val="Calibri"/>
        <family val="2"/>
        <scheme val="minor"/>
      </rPr>
      <t>Test Case 1</t>
    </r>
    <r>
      <rPr>
        <sz val="11"/>
        <color theme="1"/>
        <rFont val="Calibri"/>
        <family val="2"/>
        <scheme val="minor"/>
      </rPr>
      <t xml:space="preserve"> (Chronological Sorting - US 1.7): Seed 3 Upcoming items (due in +80, +10, +45 days). Assert </t>
    </r>
    <r>
      <rPr>
        <b/>
        <sz val="11"/>
        <color theme="1"/>
        <rFont val="Calibri"/>
        <family val="2"/>
        <scheme val="minor"/>
      </rPr>
      <t>res.body.upcoming</t>
    </r>
    <r>
      <rPr>
        <sz val="11"/>
        <color theme="1"/>
        <rFont val="Calibri"/>
        <family val="2"/>
        <scheme val="minor"/>
      </rPr>
      <t xml:space="preserve"> is ordered: +10, +45, +80.
5. </t>
    </r>
    <r>
      <rPr>
        <b/>
        <sz val="11"/>
        <color theme="1"/>
        <rFont val="Calibri"/>
        <family val="2"/>
        <scheme val="minor"/>
      </rPr>
      <t>Test Case 2</t>
    </r>
    <r>
      <rPr>
        <sz val="11"/>
        <color theme="1"/>
        <rFont val="Calibri"/>
        <family val="2"/>
        <scheme val="minor"/>
      </rPr>
      <t xml:space="preserve"> (Overdue Pinning - US 1.7 AC 2):Seed 2 Due items (+120, +200 days) and 2 Overdue items (-5 days, -30 days). Assert </t>
    </r>
    <r>
      <rPr>
        <b/>
        <sz val="11"/>
        <color theme="1"/>
        <rFont val="Calibri"/>
        <family val="2"/>
        <scheme val="minor"/>
      </rPr>
      <t>res.body.due order</t>
    </r>
    <r>
      <rPr>
        <sz val="11"/>
        <color theme="1"/>
        <rFont val="Calibri"/>
        <family val="2"/>
        <scheme val="minor"/>
      </rPr>
      <t xml:space="preserve">: -30 days (most overdue first), -5 days, +120 days, +200 days.
6. </t>
    </r>
    <r>
      <rPr>
        <b/>
        <sz val="11"/>
        <color theme="1"/>
        <rFont val="Calibri"/>
        <family val="2"/>
        <scheme val="minor"/>
      </rPr>
      <t>Test Case 3</t>
    </r>
    <r>
      <rPr>
        <sz val="11"/>
        <color theme="1"/>
        <rFont val="Calibri"/>
        <family val="2"/>
        <scheme val="minor"/>
      </rPr>
      <t xml:space="preserve"> (Next Cycle Auto-Transition - US 1.6):Execute </t>
    </r>
    <r>
      <rPr>
        <b/>
        <sz val="11"/>
        <color theme="1"/>
        <rFont val="Calibri"/>
        <family val="2"/>
        <scheme val="minor"/>
      </rPr>
      <t>POST /me/screenings/records</t>
    </r>
    <r>
      <rPr>
        <sz val="11"/>
        <color theme="1"/>
        <rFont val="Calibri"/>
        <family val="2"/>
        <scheme val="minor"/>
      </rPr>
      <t xml:space="preserve"> to complete an overdue test with a 12-month interval. </t>
    </r>
    <r>
      <rPr>
        <b/>
        <sz val="11"/>
        <color theme="1"/>
        <rFont val="Calibri"/>
        <family val="2"/>
        <scheme val="minor"/>
      </rPr>
      <t>Execute GET /me/screenings/overview</t>
    </r>
    <r>
      <rPr>
        <sz val="11"/>
        <color theme="1"/>
        <rFont val="Calibri"/>
        <family val="2"/>
        <scheme val="minor"/>
      </rPr>
      <t xml:space="preserve"> -&gt; verify old item is in </t>
    </r>
    <r>
      <rPr>
        <b/>
        <sz val="11"/>
        <color theme="1"/>
        <rFont val="Calibri"/>
        <family val="2"/>
        <scheme val="minor"/>
      </rPr>
      <t>completed</t>
    </r>
    <r>
      <rPr>
        <sz val="11"/>
        <color theme="1"/>
        <rFont val="Calibri"/>
        <family val="2"/>
        <scheme val="minor"/>
      </rPr>
      <t xml:space="preserve"> and a new item due in 365 days exists in </t>
    </r>
    <r>
      <rPr>
        <b/>
        <sz val="11"/>
        <color theme="1"/>
        <rFont val="Calibri"/>
        <family val="2"/>
        <scheme val="minor"/>
      </rPr>
      <t>due</t>
    </r>
    <r>
      <rPr>
        <sz val="11"/>
        <color theme="1"/>
        <rFont val="Calibri"/>
        <family val="2"/>
        <scheme val="minor"/>
      </rPr>
      <t>.</t>
    </r>
  </si>
  <si>
    <r>
      <rPr>
        <b/>
        <sz val="11"/>
        <color theme="1"/>
        <rFont val="Calibri"/>
        <family val="2"/>
        <scheme val="minor"/>
      </rPr>
      <t>Extend TanStack Query Client, Hook &amp; Offline Cache Persistence for /me/screenings/overview</t>
    </r>
    <r>
      <rPr>
        <sz val="11"/>
        <color theme="1"/>
        <rFont val="Calibri"/>
        <family val="2"/>
        <scheme val="minor"/>
      </rPr>
      <t xml:space="preserve">
1. Modify </t>
    </r>
    <r>
      <rPr>
        <b/>
        <sz val="11"/>
        <color theme="1"/>
        <rFont val="Calibri"/>
        <family val="2"/>
        <scheme val="minor"/>
      </rPr>
      <t xml:space="preserve">checkupp-mobile/lib/features/screenings/overview.ts </t>
    </r>
    <r>
      <rPr>
        <sz val="11"/>
        <color theme="1"/>
        <rFont val="Calibri"/>
        <family val="2"/>
        <scheme val="minor"/>
      </rPr>
      <t xml:space="preserve">and </t>
    </r>
    <r>
      <rPr>
        <b/>
        <sz val="11"/>
        <color theme="1"/>
        <rFont val="Calibri"/>
        <family val="2"/>
        <scheme val="minor"/>
      </rPr>
      <t>checkupp-mobile/lib/query/keys.ts</t>
    </r>
    <r>
      <rPr>
        <sz val="11"/>
        <color theme="1"/>
        <rFont val="Calibri"/>
        <family val="2"/>
        <scheme val="minor"/>
      </rPr>
      <t xml:space="preserve">
2. Define query key </t>
    </r>
    <r>
      <rPr>
        <b/>
        <sz val="11"/>
        <color theme="1"/>
        <rFont val="Calibri"/>
        <family val="2"/>
        <scheme val="minor"/>
      </rPr>
      <t>screeningKeys.overview(userId)</t>
    </r>
    <r>
      <rPr>
        <sz val="11"/>
        <color theme="1"/>
        <rFont val="Calibri"/>
        <family val="2"/>
        <scheme val="minor"/>
      </rPr>
      <t xml:space="preserve"> in </t>
    </r>
    <r>
      <rPr>
        <b/>
        <sz val="11"/>
        <color theme="1"/>
        <rFont val="Calibri"/>
        <family val="2"/>
        <scheme val="minor"/>
      </rPr>
      <t>checkupp-mobile/lib/query/keys.ts</t>
    </r>
    <r>
      <rPr>
        <sz val="11"/>
        <color theme="1"/>
        <rFont val="Calibri"/>
        <family val="2"/>
        <scheme val="minor"/>
      </rPr>
      <t xml:space="preserve">.
3. In </t>
    </r>
    <r>
      <rPr>
        <b/>
        <sz val="11"/>
        <color theme="1"/>
        <rFont val="Calibri"/>
        <family val="2"/>
        <scheme val="minor"/>
      </rPr>
      <t>checkupp-mobile/lib/features/screenings/overview.ts</t>
    </r>
    <r>
      <rPr>
        <sz val="11"/>
        <color theme="1"/>
        <rFont val="Calibri"/>
        <family val="2"/>
        <scheme val="minor"/>
      </rPr>
      <t xml:space="preserve">, implement custom query hook </t>
    </r>
    <r>
      <rPr>
        <b/>
        <sz val="11"/>
        <color theme="1"/>
        <rFont val="Calibri"/>
        <family val="2"/>
        <scheme val="minor"/>
      </rPr>
      <t>useScreeningOverview(userId?: string)</t>
    </r>
    <r>
      <rPr>
        <sz val="11"/>
        <color theme="1"/>
        <rFont val="Calibri"/>
        <family val="2"/>
        <scheme val="minor"/>
      </rPr>
      <t>:
TypeScript
export const useScreeningOverview = (userId?: string) =&gt; {
  return useQuery&lt;ScreeningOverviewResponse, Error&gt;({
    queryKey: ['screenings', 'overview', userId],
    queryFn: async () =&gt; {
      const { data } = await apiClient.get('/me/screenings/overview');
      return data;
    },
    enabled: !!userId,
    staleTime: 1000 * 60 * 5,
    gcTime: 1000 * 60 * 60 * 24, // 24h cache persistence for offline mode
    retry: 1,
  });
};
4. Ensure TanStack Query is configured with AsyncStorage/MMKV persistence so that cached schedule data remains accessible during offline starts (US 1.8).</t>
    </r>
  </si>
  <si>
    <r>
      <rPr>
        <b/>
        <sz val="11"/>
        <color theme="1"/>
        <rFont val="Calibri"/>
        <family val="2"/>
        <scheme val="minor"/>
      </rPr>
      <t>Build Your Health Overview Screen &amp; Segmented Top Tabs Layout &amp; Dynamic Count Badges</t>
    </r>
    <r>
      <rPr>
        <sz val="11"/>
        <color theme="1"/>
        <rFont val="Calibri"/>
        <family val="2"/>
        <scheme val="minor"/>
      </rPr>
      <t xml:space="preserve">
1. Create </t>
    </r>
    <r>
      <rPr>
        <b/>
        <sz val="11"/>
        <color theme="1"/>
        <rFont val="Calibri"/>
        <family val="2"/>
        <scheme val="minor"/>
      </rPr>
      <t>checkupp-mobile/app/health-overview/index.tsx</t>
    </r>
    <r>
      <rPr>
        <sz val="11"/>
        <color theme="1"/>
        <rFont val="Calibri"/>
        <family val="2"/>
        <scheme val="minor"/>
      </rPr>
      <t xml:space="preserve"> and </t>
    </r>
    <r>
      <rPr>
        <b/>
        <sz val="11"/>
        <color theme="1"/>
        <rFont val="Calibri"/>
        <family val="2"/>
        <scheme val="minor"/>
      </rPr>
      <t>checkupp-mobile/components/screening/OverviewTopTabs.tsx</t>
    </r>
    <r>
      <rPr>
        <sz val="11"/>
        <color theme="1"/>
        <rFont val="Calibri"/>
        <family val="2"/>
        <scheme val="minor"/>
      </rPr>
      <t xml:space="preserve">
2. Top Segmented Control (</t>
    </r>
    <r>
      <rPr>
        <b/>
        <sz val="11"/>
        <color theme="1"/>
        <rFont val="Calibri"/>
        <family val="2"/>
        <scheme val="minor"/>
      </rPr>
      <t>OverviewTopTabs.tsx</t>
    </r>
    <r>
      <rPr>
        <sz val="11"/>
        <color theme="1"/>
        <rFont val="Calibri"/>
        <family val="2"/>
        <scheme val="minor"/>
      </rPr>
      <t xml:space="preserve">):
- Build a pill-shaped segmented control with three horizontal tabs: </t>
    </r>
    <r>
      <rPr>
        <b/>
        <sz val="11"/>
        <color theme="1"/>
        <rFont val="Calibri"/>
        <family val="2"/>
        <scheme val="minor"/>
      </rPr>
      <t>Upcoming</t>
    </r>
    <r>
      <rPr>
        <sz val="11"/>
        <color theme="1"/>
        <rFont val="Calibri"/>
        <family val="2"/>
        <scheme val="minor"/>
      </rPr>
      <t xml:space="preserve">, </t>
    </r>
    <r>
      <rPr>
        <b/>
        <sz val="11"/>
        <color theme="1"/>
        <rFont val="Calibri"/>
        <family val="2"/>
        <scheme val="minor"/>
      </rPr>
      <t>Due</t>
    </r>
    <r>
      <rPr>
        <sz val="11"/>
        <color theme="1"/>
        <rFont val="Calibri"/>
        <family val="2"/>
        <scheme val="minor"/>
      </rPr>
      <t xml:space="preserve">, and </t>
    </r>
    <r>
      <rPr>
        <b/>
        <sz val="11"/>
        <color theme="1"/>
        <rFont val="Calibri"/>
        <family val="2"/>
        <scheme val="minor"/>
      </rPr>
      <t>Completed</t>
    </r>
    <r>
      <rPr>
        <sz val="11"/>
        <color theme="1"/>
        <rFont val="Calibri"/>
        <family val="2"/>
        <scheme val="minor"/>
      </rPr>
      <t xml:space="preserve">.
- Accept props: </t>
    </r>
    <r>
      <rPr>
        <b/>
        <sz val="11"/>
        <color theme="1"/>
        <rFont val="Calibri"/>
        <family val="2"/>
        <scheme val="minor"/>
      </rPr>
      <t>activeTab: 'upcoming' | 'due' | 'completed'</t>
    </r>
    <r>
      <rPr>
        <sz val="11"/>
        <color theme="1"/>
        <rFont val="Calibri"/>
        <family val="2"/>
        <scheme val="minor"/>
      </rPr>
      <t xml:space="preserve">, </t>
    </r>
    <r>
      <rPr>
        <b/>
        <sz val="11"/>
        <color theme="1"/>
        <rFont val="Calibri"/>
        <family val="2"/>
        <scheme val="minor"/>
      </rPr>
      <t>counts: { upcoming: number; due: number; completed: number }</t>
    </r>
    <r>
      <rPr>
        <sz val="11"/>
        <color theme="1"/>
        <rFont val="Calibri"/>
        <family val="2"/>
        <scheme val="minor"/>
      </rPr>
      <t xml:space="preserve">, and </t>
    </r>
    <r>
      <rPr>
        <b/>
        <sz val="11"/>
        <color theme="1"/>
        <rFont val="Calibri"/>
        <family val="2"/>
        <scheme val="minor"/>
      </rPr>
      <t>onTabChange: (tab) =&gt; void</t>
    </r>
    <r>
      <rPr>
        <sz val="11"/>
        <color theme="1"/>
        <rFont val="Calibri"/>
        <family val="2"/>
        <scheme val="minor"/>
      </rPr>
      <t xml:space="preserve">.
- Render each tab label dynamically appending the count in parentheses:
a. </t>
    </r>
    <r>
      <rPr>
        <b/>
        <sz val="11"/>
        <color theme="1"/>
        <rFont val="Calibri"/>
        <family val="2"/>
        <scheme val="minor"/>
      </rPr>
      <t>Upcoming (${counts.upcoming})</t>
    </r>
    <r>
      <rPr>
        <sz val="11"/>
        <color theme="1"/>
        <rFont val="Calibri"/>
        <family val="2"/>
        <scheme val="minor"/>
      </rPr>
      <t xml:space="preserve">
b. </t>
    </r>
    <r>
      <rPr>
        <b/>
        <sz val="11"/>
        <color theme="1"/>
        <rFont val="Calibri"/>
        <family val="2"/>
        <scheme val="minor"/>
      </rPr>
      <t>Due (${counts.due})</t>
    </r>
    <r>
      <rPr>
        <sz val="11"/>
        <color theme="1"/>
        <rFont val="Calibri"/>
        <family val="2"/>
        <scheme val="minor"/>
      </rPr>
      <t xml:space="preserve">
c. </t>
    </r>
    <r>
      <rPr>
        <b/>
        <sz val="11"/>
        <color theme="1"/>
        <rFont val="Calibri"/>
        <family val="2"/>
        <scheme val="minor"/>
      </rPr>
      <t>Completed (${counts.completed})</t>
    </r>
    <r>
      <rPr>
        <sz val="11"/>
        <color theme="1"/>
        <rFont val="Calibri"/>
        <family val="2"/>
        <scheme val="minor"/>
      </rPr>
      <t xml:space="preserve">
- Active tab state renders with primary cyan accent </t>
    </r>
    <r>
      <rPr>
        <b/>
        <sz val="11"/>
        <color theme="1"/>
        <rFont val="Calibri"/>
        <family val="2"/>
        <scheme val="minor"/>
      </rPr>
      <t>(bg-[#00CED1] text-white font-psemibold</t>
    </r>
    <r>
      <rPr>
        <sz val="11"/>
        <color theme="1"/>
        <rFont val="Calibri"/>
        <family val="2"/>
        <scheme val="minor"/>
      </rPr>
      <t>), while inactive tabs render in neutral gray (</t>
    </r>
    <r>
      <rPr>
        <b/>
        <sz val="11"/>
        <color theme="1"/>
        <rFont val="Calibri"/>
        <family val="2"/>
        <scheme val="minor"/>
      </rPr>
      <t>bg-gray-100 text-gray-600</t>
    </r>
    <r>
      <rPr>
        <sz val="11"/>
        <color theme="1"/>
        <rFont val="Calibri"/>
        <family val="2"/>
        <scheme val="minor"/>
      </rPr>
      <t>).
3. Screen Scaffold (</t>
    </r>
    <r>
      <rPr>
        <b/>
        <sz val="11"/>
        <color theme="1"/>
        <rFont val="Calibri"/>
        <family val="2"/>
        <scheme val="minor"/>
      </rPr>
      <t>checkupp-mobile/app/health-overview/index.tsx</t>
    </r>
    <r>
      <rPr>
        <sz val="11"/>
        <color theme="1"/>
        <rFont val="Calibri"/>
        <family val="2"/>
        <scheme val="minor"/>
      </rPr>
      <t xml:space="preserve">):
- Use </t>
    </r>
    <r>
      <rPr>
        <b/>
        <sz val="11"/>
        <color theme="1"/>
        <rFont val="Calibri"/>
        <family val="2"/>
        <scheme val="minor"/>
      </rPr>
      <t>SafeAreaView</t>
    </r>
    <r>
      <rPr>
        <sz val="11"/>
        <color theme="1"/>
        <rFont val="Calibri"/>
        <family val="2"/>
        <scheme val="minor"/>
      </rPr>
      <t xml:space="preserve"> from </t>
    </r>
    <r>
      <rPr>
        <b/>
        <sz val="11"/>
        <color theme="1"/>
        <rFont val="Calibri"/>
        <family val="2"/>
        <scheme val="minor"/>
      </rPr>
      <t>react-native-safe-area-context</t>
    </r>
    <r>
      <rPr>
        <sz val="11"/>
        <color theme="1"/>
        <rFont val="Calibri"/>
        <family val="2"/>
        <scheme val="minor"/>
      </rPr>
      <t>.
- Implement a navigation header with a Back button (</t>
    </r>
    <r>
      <rPr>
        <b/>
        <sz val="11"/>
        <color theme="1"/>
        <rFont val="Calibri"/>
        <family val="2"/>
        <scheme val="minor"/>
      </rPr>
      <t>router.back()</t>
    </r>
    <r>
      <rPr>
        <sz val="11"/>
        <color theme="1"/>
        <rFont val="Calibri"/>
        <family val="2"/>
        <scheme val="minor"/>
      </rPr>
      <t>) and Title "</t>
    </r>
    <r>
      <rPr>
        <b/>
        <sz val="11"/>
        <color theme="1"/>
        <rFont val="Calibri"/>
        <family val="2"/>
        <scheme val="minor"/>
      </rPr>
      <t>Your Health Overview</t>
    </r>
    <r>
      <rPr>
        <sz val="11"/>
        <color theme="1"/>
        <rFont val="Calibri"/>
        <family val="2"/>
        <scheme val="minor"/>
      </rPr>
      <t xml:space="preserve">".
- Initialize state </t>
    </r>
    <r>
      <rPr>
        <b/>
        <sz val="11"/>
        <color theme="1"/>
        <rFont val="Calibri"/>
        <family val="2"/>
        <scheme val="minor"/>
      </rPr>
      <t>[activeTab, setActiveTab] = useState&lt;'upcoming' | 'due' | 'completed'&gt;('upcoming')</t>
    </r>
    <r>
      <rPr>
        <sz val="11"/>
        <color theme="1"/>
        <rFont val="Calibri"/>
        <family val="2"/>
        <scheme val="minor"/>
      </rPr>
      <t xml:space="preserve"> so that the "</t>
    </r>
    <r>
      <rPr>
        <b/>
        <sz val="11"/>
        <color theme="1"/>
        <rFont val="Calibri"/>
        <family val="2"/>
        <scheme val="minor"/>
      </rPr>
      <t>Upcoming</t>
    </r>
    <r>
      <rPr>
        <sz val="11"/>
        <color theme="1"/>
        <rFont val="Calibri"/>
        <family val="2"/>
        <scheme val="minor"/>
      </rPr>
      <t>" tab is active by default upon landing.</t>
    </r>
  </si>
  <si>
    <t>1.2, 1.3, 1.4, 1.8</t>
  </si>
  <si>
    <r>
      <rPr>
        <b/>
        <sz val="11"/>
        <color theme="1"/>
        <rFont val="Calibri"/>
        <family val="2"/>
        <scheme val="minor"/>
      </rPr>
      <t>Implement Tab FlatList Views, Pull-to-Refresh, Skeleton Loaders &amp; Strict Empty States</t>
    </r>
    <r>
      <rPr>
        <sz val="11"/>
        <color theme="1"/>
        <rFont val="Calibri"/>
        <family val="2"/>
        <scheme val="minor"/>
      </rPr>
      <t xml:space="preserve">
1. Create </t>
    </r>
    <r>
      <rPr>
        <b/>
        <sz val="11"/>
        <color theme="1"/>
        <rFont val="Calibri"/>
        <family val="2"/>
        <scheme val="minor"/>
      </rPr>
      <t>checkupp-mobile/components/screening/OverviewSkeletonLoader.tsx</t>
    </r>
    <r>
      <rPr>
        <sz val="11"/>
        <color theme="1"/>
        <rFont val="Calibri"/>
        <family val="2"/>
        <scheme val="minor"/>
      </rPr>
      <t xml:space="preserve"> and Modify </t>
    </r>
    <r>
      <rPr>
        <b/>
        <sz val="11"/>
        <color theme="1"/>
        <rFont val="Calibri"/>
        <family val="2"/>
        <scheme val="minor"/>
      </rPr>
      <t>checkupp-mobile/app/health-overview/index.tsx</t>
    </r>
    <r>
      <rPr>
        <sz val="11"/>
        <color theme="1"/>
        <rFont val="Calibri"/>
        <family val="2"/>
        <scheme val="minor"/>
      </rPr>
      <t xml:space="preserve">
2. </t>
    </r>
    <r>
      <rPr>
        <b/>
        <sz val="11"/>
        <color theme="1"/>
        <rFont val="Calibri"/>
        <family val="2"/>
        <scheme val="minor"/>
      </rPr>
      <t>Skeleton Loaders</t>
    </r>
    <r>
      <rPr>
        <sz val="11"/>
        <color theme="1"/>
        <rFont val="Calibri"/>
        <family val="2"/>
        <scheme val="minor"/>
      </rPr>
      <t xml:space="preserve"> (US 1.8 AC 2): Build </t>
    </r>
    <r>
      <rPr>
        <b/>
        <sz val="11"/>
        <color theme="1"/>
        <rFont val="Calibri"/>
        <family val="2"/>
        <scheme val="minor"/>
      </rPr>
      <t>OverviewSkeletonLoader.tsx</t>
    </r>
    <r>
      <rPr>
        <sz val="11"/>
        <color theme="1"/>
        <rFont val="Calibri"/>
        <family val="2"/>
        <scheme val="minor"/>
      </rPr>
      <t xml:space="preserve"> displaying 3 animated gray placeholder cards (bg-gray-200 animate-pulse h-20 rounded-xl mb-3) when </t>
    </r>
    <r>
      <rPr>
        <b/>
        <sz val="11"/>
        <color theme="1"/>
        <rFont val="Calibri"/>
        <family val="2"/>
        <scheme val="minor"/>
      </rPr>
      <t>isLoading === true</t>
    </r>
    <r>
      <rPr>
        <sz val="11"/>
        <color theme="1"/>
        <rFont val="Calibri"/>
        <family val="2"/>
        <scheme val="minor"/>
      </rPr>
      <t xml:space="preserve">.
3. Pull-to-Refresh &amp; Offline Cache Behavior (US 1.8 AC 1, 3): 
- Attach </t>
    </r>
    <r>
      <rPr>
        <b/>
        <sz val="11"/>
        <color theme="1"/>
        <rFont val="Calibri"/>
        <family val="2"/>
        <scheme val="minor"/>
      </rPr>
      <t>RefreshControl</t>
    </r>
    <r>
      <rPr>
        <sz val="11"/>
        <color theme="1"/>
        <rFont val="Calibri"/>
        <family val="2"/>
        <scheme val="minor"/>
      </rPr>
      <t xml:space="preserve"> to </t>
    </r>
    <r>
      <rPr>
        <b/>
        <sz val="11"/>
        <color theme="1"/>
        <rFont val="Calibri"/>
        <family val="2"/>
        <scheme val="minor"/>
      </rPr>
      <t>FlatList</t>
    </r>
    <r>
      <rPr>
        <sz val="11"/>
        <color theme="1"/>
        <rFont val="Calibri"/>
        <family val="2"/>
        <scheme val="minor"/>
      </rPr>
      <t xml:space="preserve">:
TypeScript&lt;RefreshControl
  refreshing={isRefetching}
  onRefresh={handleRefresh}
  tintColor="#00CED1"
/&gt;
- In </t>
    </r>
    <r>
      <rPr>
        <b/>
        <sz val="11"/>
        <color theme="1"/>
        <rFont val="Calibri"/>
        <family val="2"/>
        <scheme val="minor"/>
      </rPr>
      <t>handleRefresh</t>
    </r>
    <r>
      <rPr>
        <sz val="11"/>
        <color theme="1"/>
        <rFont val="Calibri"/>
        <family val="2"/>
        <scheme val="minor"/>
      </rPr>
      <t>:
- Trigger refetch().
- If offline (!netInfo.isConnected), ensure spinner dismisses within 3 seconds (setTimeout(() =&gt; setIsRefetching(false), 3000)) and trigger snackbar/toast: Exact string required: "</t>
    </r>
    <r>
      <rPr>
        <b/>
        <sz val="11"/>
        <color theme="1"/>
        <rFont val="Calibri"/>
        <family val="2"/>
        <scheme val="minor"/>
      </rPr>
      <t>No internet connection. Showing your last saved schedule.</t>
    </r>
    <r>
      <rPr>
        <sz val="11"/>
        <color theme="1"/>
        <rFont val="Calibri"/>
        <family val="2"/>
        <scheme val="minor"/>
      </rPr>
      <t xml:space="preserve">"
- Keep previously cached cards visible on screen without disruption.
4. </t>
    </r>
    <r>
      <rPr>
        <b/>
        <sz val="11"/>
        <color theme="1"/>
        <rFont val="Calibri"/>
        <family val="2"/>
        <scheme val="minor"/>
      </rPr>
      <t>Strict Empty States</t>
    </r>
    <r>
      <rPr>
        <sz val="11"/>
        <color theme="1"/>
        <rFont val="Calibri"/>
        <family val="2"/>
        <scheme val="minor"/>
      </rPr>
      <t xml:space="preserve"> (US 1.2–1.4 AC):
- When </t>
    </r>
    <r>
      <rPr>
        <b/>
        <sz val="11"/>
        <color theme="1"/>
        <rFont val="Calibri"/>
        <family val="2"/>
        <scheme val="minor"/>
      </rPr>
      <t>data[activeTab].length === 0</t>
    </r>
    <r>
      <rPr>
        <sz val="11"/>
        <color theme="1"/>
        <rFont val="Calibri"/>
        <family val="2"/>
        <scheme val="minor"/>
      </rPr>
      <t xml:space="preserve"> and not loading, render </t>
    </r>
    <r>
      <rPr>
        <b/>
        <sz val="11"/>
        <color theme="1"/>
        <rFont val="Calibri"/>
        <family val="2"/>
        <scheme val="minor"/>
      </rPr>
      <t>EmptyState</t>
    </r>
    <r>
      <rPr>
        <sz val="11"/>
        <color theme="1"/>
        <rFont val="Calibri"/>
        <family val="2"/>
        <scheme val="minor"/>
      </rPr>
      <t xml:space="preserve">:
a. </t>
    </r>
    <r>
      <rPr>
        <b/>
        <sz val="11"/>
        <color theme="1"/>
        <rFont val="Calibri"/>
        <family val="2"/>
        <scheme val="minor"/>
      </rPr>
      <t>activeTab === 'upcoming'</t>
    </r>
    <r>
      <rPr>
        <sz val="11"/>
        <color theme="1"/>
        <rFont val="Calibri"/>
        <family val="2"/>
        <scheme val="minor"/>
      </rPr>
      <t xml:space="preserve"> -&gt; "</t>
    </r>
    <r>
      <rPr>
        <b/>
        <sz val="11"/>
        <color theme="1"/>
        <rFont val="Calibri"/>
        <family val="2"/>
        <scheme val="minor"/>
      </rPr>
      <t>You don't have any upcoming screenings.</t>
    </r>
    <r>
      <rPr>
        <sz val="11"/>
        <color theme="1"/>
        <rFont val="Calibri"/>
        <family val="2"/>
        <scheme val="minor"/>
      </rPr>
      <t xml:space="preserve">"
b. </t>
    </r>
    <r>
      <rPr>
        <b/>
        <sz val="11"/>
        <color theme="1"/>
        <rFont val="Calibri"/>
        <family val="2"/>
        <scheme val="minor"/>
      </rPr>
      <t>activeTab === 'due</t>
    </r>
    <r>
      <rPr>
        <sz val="11"/>
        <color theme="1"/>
        <rFont val="Calibri"/>
        <family val="2"/>
        <scheme val="minor"/>
      </rPr>
      <t>' -&gt; "</t>
    </r>
    <r>
      <rPr>
        <b/>
        <sz val="11"/>
        <color theme="1"/>
        <rFont val="Calibri"/>
        <family val="2"/>
        <scheme val="minor"/>
      </rPr>
      <t>You don't have any due screenings.</t>
    </r>
    <r>
      <rPr>
        <sz val="11"/>
        <color theme="1"/>
        <rFont val="Calibri"/>
        <family val="2"/>
        <scheme val="minor"/>
      </rPr>
      <t xml:space="preserve">"
c. </t>
    </r>
    <r>
      <rPr>
        <b/>
        <sz val="11"/>
        <color theme="1"/>
        <rFont val="Calibri"/>
        <family val="2"/>
        <scheme val="minor"/>
      </rPr>
      <t>activeTab === 'completed'</t>
    </r>
    <r>
      <rPr>
        <sz val="11"/>
        <color theme="1"/>
        <rFont val="Calibri"/>
        <family val="2"/>
        <scheme val="minor"/>
      </rPr>
      <t xml:space="preserve"> -&gt; "</t>
    </r>
    <r>
      <rPr>
        <b/>
        <sz val="11"/>
        <color theme="1"/>
        <rFont val="Calibri"/>
        <family val="2"/>
        <scheme val="minor"/>
      </rPr>
      <t>You don't have any completed screenings.</t>
    </r>
    <r>
      <rPr>
        <sz val="11"/>
        <color theme="1"/>
        <rFont val="Calibri"/>
        <family val="2"/>
        <scheme val="minor"/>
      </rPr>
      <t>"</t>
    </r>
  </si>
  <si>
    <t>1.5, 1.6</t>
  </si>
  <si>
    <r>
      <rPr>
        <b/>
        <sz val="11"/>
        <color theme="1"/>
        <rFont val="Calibri"/>
        <family val="2"/>
        <scheme val="minor"/>
      </rPr>
      <t>Implement Offline Cold-Start Empty State Card &amp; Retryable Error Banner Handlers</t>
    </r>
    <r>
      <rPr>
        <sz val="11"/>
        <color theme="1"/>
        <rFont val="Calibri"/>
        <family val="2"/>
        <scheme val="minor"/>
      </rPr>
      <t xml:space="preserve">
1. Create </t>
    </r>
    <r>
      <rPr>
        <b/>
        <sz val="11"/>
        <color theme="1"/>
        <rFont val="Calibri"/>
        <family val="2"/>
        <scheme val="minor"/>
      </rPr>
      <t>checkupp-mobile/components/screening/OverviewOfflineState.tsx</t>
    </r>
    <r>
      <rPr>
        <sz val="11"/>
        <color theme="1"/>
        <rFont val="Calibri"/>
        <family val="2"/>
        <scheme val="minor"/>
      </rPr>
      <t xml:space="preserve">, create </t>
    </r>
    <r>
      <rPr>
        <b/>
        <sz val="11"/>
        <color theme="1"/>
        <rFont val="Calibri"/>
        <family val="2"/>
        <scheme val="minor"/>
      </rPr>
      <t>checkupp-mobile/components/screening/OverviewErrorBanner.tsx</t>
    </r>
    <r>
      <rPr>
        <sz val="11"/>
        <color theme="1"/>
        <rFont val="Calibri"/>
        <family val="2"/>
        <scheme val="minor"/>
      </rPr>
      <t xml:space="preserve"> and Modify </t>
    </r>
    <r>
      <rPr>
        <b/>
        <sz val="11"/>
        <color theme="1"/>
        <rFont val="Calibri"/>
        <family val="2"/>
        <scheme val="minor"/>
      </rPr>
      <t>checkupp-mobile/app/health-overview/index.tsx</t>
    </r>
    <r>
      <rPr>
        <sz val="11"/>
        <color theme="1"/>
        <rFont val="Calibri"/>
        <family val="2"/>
        <scheme val="minor"/>
      </rPr>
      <t xml:space="preserve">
2. </t>
    </r>
    <r>
      <rPr>
        <b/>
        <sz val="11"/>
        <color theme="1"/>
        <rFont val="Calibri"/>
        <family val="2"/>
        <scheme val="minor"/>
      </rPr>
      <t>Offline Cold Start Component</t>
    </r>
    <r>
      <rPr>
        <sz val="11"/>
        <color theme="1"/>
        <rFont val="Calibri"/>
        <family val="2"/>
        <scheme val="minor"/>
      </rPr>
      <t xml:space="preserve"> (OverviewOfflineState.tsx):
- When </t>
    </r>
    <r>
      <rPr>
        <b/>
        <sz val="11"/>
        <color theme="1"/>
        <rFont val="Calibri"/>
        <family val="2"/>
        <scheme val="minor"/>
      </rPr>
      <t>isError &amp;&amp; !data</t>
    </r>
    <r>
      <rPr>
        <sz val="11"/>
        <color theme="1"/>
        <rFont val="Calibri"/>
        <family val="2"/>
        <scheme val="minor"/>
      </rPr>
      <t xml:space="preserve"> and network is offline, render an offline empty-state card.
- Display exact string: "</t>
    </r>
    <r>
      <rPr>
        <b/>
        <sz val="11"/>
        <color theme="1"/>
        <rFont val="Calibri"/>
        <family val="2"/>
        <scheme val="minor"/>
      </rPr>
      <t>You're offline. Connect to the internet to load your screenings.</t>
    </r>
    <r>
      <rPr>
        <sz val="11"/>
        <color theme="1"/>
        <rFont val="Calibri"/>
        <family val="2"/>
        <scheme val="minor"/>
      </rPr>
      <t>" (US 1.8 AC 4).
- Render an interactive [</t>
    </r>
    <r>
      <rPr>
        <b/>
        <sz val="11"/>
        <color theme="1"/>
        <rFont val="Calibri"/>
        <family val="2"/>
        <scheme val="minor"/>
      </rPr>
      <t>Retry</t>
    </r>
    <r>
      <rPr>
        <sz val="11"/>
        <color theme="1"/>
        <rFont val="Calibri"/>
        <family val="2"/>
        <scheme val="minor"/>
      </rPr>
      <t xml:space="preserve">] button that calls </t>
    </r>
    <r>
      <rPr>
        <b/>
        <sz val="11"/>
        <color theme="1"/>
        <rFont val="Calibri"/>
        <family val="2"/>
        <scheme val="minor"/>
      </rPr>
      <t>refetch()</t>
    </r>
    <r>
      <rPr>
        <sz val="11"/>
        <color theme="1"/>
        <rFont val="Calibri"/>
        <family val="2"/>
        <scheme val="minor"/>
      </rPr>
      <t xml:space="preserve">.
3. </t>
    </r>
    <r>
      <rPr>
        <b/>
        <sz val="11"/>
        <color theme="1"/>
        <rFont val="Calibri"/>
        <family val="2"/>
        <scheme val="minor"/>
      </rPr>
      <t>Server Error Banner</t>
    </r>
    <r>
      <rPr>
        <sz val="11"/>
        <color theme="1"/>
        <rFont val="Calibri"/>
        <family val="2"/>
        <scheme val="minor"/>
      </rPr>
      <t xml:space="preserve"> (OverviewErrorBanner.tsx):
- When server returns </t>
    </r>
    <r>
      <rPr>
        <b/>
        <sz val="11"/>
        <color theme="1"/>
        <rFont val="Calibri"/>
        <family val="2"/>
        <scheme val="minor"/>
      </rPr>
      <t>500 Internal Server Error</t>
    </r>
    <r>
      <rPr>
        <sz val="11"/>
        <color theme="1"/>
        <rFont val="Calibri"/>
        <family val="2"/>
        <scheme val="minor"/>
      </rPr>
      <t xml:space="preserve"> (</t>
    </r>
    <r>
      <rPr>
        <b/>
        <sz val="11"/>
        <color theme="1"/>
        <rFont val="Calibri"/>
        <family val="2"/>
        <scheme val="minor"/>
      </rPr>
      <t>isError === true</t>
    </r>
    <r>
      <rPr>
        <sz val="11"/>
        <color theme="1"/>
        <rFont val="Calibri"/>
        <family val="2"/>
        <scheme val="minor"/>
      </rPr>
      <t xml:space="preserve">) AND cached </t>
    </r>
    <r>
      <rPr>
        <b/>
        <sz val="11"/>
        <color theme="1"/>
        <rFont val="Calibri"/>
        <family val="2"/>
        <scheme val="minor"/>
      </rPr>
      <t>data</t>
    </r>
    <r>
      <rPr>
        <sz val="11"/>
        <color theme="1"/>
        <rFont val="Calibri"/>
        <family val="2"/>
        <scheme val="minor"/>
      </rPr>
      <t xml:space="preserve"> exists:
a. Do not crash or hide cached items (US 1.8 AC 5).
b. Render a top yellow/red retryable error banner: "</t>
    </r>
    <r>
      <rPr>
        <b/>
        <sz val="11"/>
        <color theme="1"/>
        <rFont val="Calibri"/>
        <family val="2"/>
        <scheme val="minor"/>
      </rPr>
      <t>Unable to sync latest schedule. Showing offline copy.</t>
    </r>
    <r>
      <rPr>
        <sz val="11"/>
        <color theme="1"/>
        <rFont val="Calibri"/>
        <family val="2"/>
        <scheme val="minor"/>
      </rPr>
      <t>" with a [</t>
    </r>
    <r>
      <rPr>
        <b/>
        <sz val="11"/>
        <color theme="1"/>
        <rFont val="Calibri"/>
        <family val="2"/>
        <scheme val="minor"/>
      </rPr>
      <t>Retry</t>
    </r>
    <r>
      <rPr>
        <sz val="11"/>
        <color theme="1"/>
        <rFont val="Calibri"/>
        <family val="2"/>
        <scheme val="minor"/>
      </rPr>
      <t>] link.</t>
    </r>
  </si>
  <si>
    <r>
      <rPr>
        <b/>
        <sz val="11"/>
        <color theme="1"/>
        <rFont val="Calibri"/>
        <family val="2"/>
        <scheme val="minor"/>
      </rPr>
      <t>Automated Jest Frontend Test Suite for Overview Workflows, Pull-to-Refresh, Offline States &amp; Modal Actions</t>
    </r>
    <r>
      <rPr>
        <sz val="11"/>
        <color theme="1"/>
        <rFont val="Calibri"/>
        <family val="2"/>
        <scheme val="minor"/>
      </rPr>
      <t xml:space="preserve">
1.  Create </t>
    </r>
    <r>
      <rPr>
        <b/>
        <sz val="11"/>
        <color theme="1"/>
        <rFont val="Calibri"/>
        <family val="2"/>
        <scheme val="minor"/>
      </rPr>
      <t>checkupp-mobile/tests/screenings/healthOverviewEpicWorkflows.test.js</t>
    </r>
    <r>
      <rPr>
        <sz val="11"/>
        <color theme="1"/>
        <rFont val="Calibri"/>
        <family val="2"/>
        <scheme val="minor"/>
      </rPr>
      <t xml:space="preserve">
1. Configure Jest + </t>
    </r>
    <r>
      <rPr>
        <b/>
        <sz val="11"/>
        <color theme="1"/>
        <rFont val="Calibri"/>
        <family val="2"/>
        <scheme val="minor"/>
      </rPr>
      <t>@testing-library/react-native</t>
    </r>
    <r>
      <rPr>
        <sz val="11"/>
        <color theme="1"/>
        <rFont val="Calibri"/>
        <family val="2"/>
        <scheme val="minor"/>
      </rPr>
      <t xml:space="preserve"> with mocked Expo Router, NetInfo, and TanStack Query.
- </t>
    </r>
    <r>
      <rPr>
        <b/>
        <sz val="11"/>
        <color theme="1"/>
        <rFont val="Calibri"/>
        <family val="2"/>
        <scheme val="minor"/>
      </rPr>
      <t>Test Case 1</t>
    </r>
    <r>
      <rPr>
        <sz val="11"/>
        <color theme="1"/>
        <rFont val="Calibri"/>
        <family val="2"/>
        <scheme val="minor"/>
      </rPr>
      <t xml:space="preserve"> (Tab Counts &amp; Chronological Order - US 1.1, 1.7):
a. Verify tab titles render Upcoming (2), Due (2), Completed (1).
b. Verify Due tab renders Overdue card at index 0 with red #EF4444 styling and "OVERDUE" badge.
-</t>
    </r>
    <r>
      <rPr>
        <b/>
        <sz val="11"/>
        <color theme="1"/>
        <rFont val="Calibri"/>
        <family val="2"/>
        <scheme val="minor"/>
      </rPr>
      <t xml:space="preserve"> Test Case 2</t>
    </r>
    <r>
      <rPr>
        <sz val="11"/>
        <color theme="1"/>
        <rFont val="Calibri"/>
        <family val="2"/>
        <scheme val="minor"/>
      </rPr>
      <t xml:space="preserve"> (Decision Modal &amp; Routing - US 1.5):
a. Simulate tap on upcoming card. Assert modal appears with exact text "Have you had this screening?".
b. Simulate press on "Yes". Assert router.push is called with form parameters.
- </t>
    </r>
    <r>
      <rPr>
        <b/>
        <sz val="11"/>
        <color theme="1"/>
        <rFont val="Calibri"/>
        <family val="2"/>
        <scheme val="minor"/>
      </rPr>
      <t>Test Case 3</t>
    </r>
    <r>
      <rPr>
        <sz val="11"/>
        <color theme="1"/>
        <rFont val="Calibri"/>
        <family val="2"/>
        <scheme val="minor"/>
      </rPr>
      <t xml:space="preserve"> (Offline Cache &amp; Refresh - US 1.8):
- Simulate offline network state + pull-to-refresh. Assert spinner dismisses within 3000ms and toast "No internet connection. Showing your last saved schedule." is rendered.
- </t>
    </r>
    <r>
      <rPr>
        <b/>
        <sz val="11"/>
        <color theme="1"/>
        <rFont val="Calibri"/>
        <family val="2"/>
        <scheme val="minor"/>
      </rPr>
      <t>Test Case 4</t>
    </r>
    <r>
      <rPr>
        <sz val="11"/>
        <color theme="1"/>
        <rFont val="Calibri"/>
        <family val="2"/>
        <scheme val="minor"/>
      </rPr>
      <t xml:space="preserve"> (Offline Cold Start - US 1.8):
a. Simulate offline network + data: undefined. Assert exact text "You're offline. Connect to the internet to load your screenings." is rendered.
- </t>
    </r>
    <r>
      <rPr>
        <b/>
        <sz val="11"/>
        <color theme="1"/>
        <rFont val="Calibri"/>
        <family val="2"/>
        <scheme val="minor"/>
      </rPr>
      <t>Test Case 5</t>
    </r>
    <r>
      <rPr>
        <sz val="11"/>
        <color theme="1"/>
        <rFont val="Calibri"/>
        <family val="2"/>
        <scheme val="minor"/>
      </rPr>
      <t xml:space="preserve"> (Empty State Exact Strings - US 1.2–1.4):
a. Pass empty arrays for all 3 tabs. Assert exact strings:
"</t>
    </r>
    <r>
      <rPr>
        <b/>
        <sz val="11"/>
        <color theme="1"/>
        <rFont val="Calibri"/>
        <family val="2"/>
        <scheme val="minor"/>
      </rPr>
      <t>You don't have any upcoming screenings.</t>
    </r>
    <r>
      <rPr>
        <sz val="11"/>
        <color theme="1"/>
        <rFont val="Calibri"/>
        <family val="2"/>
        <scheme val="minor"/>
      </rPr>
      <t>"
"</t>
    </r>
    <r>
      <rPr>
        <b/>
        <sz val="11"/>
        <color theme="1"/>
        <rFont val="Calibri"/>
        <family val="2"/>
        <scheme val="minor"/>
      </rPr>
      <t>You don't have any due screenings.</t>
    </r>
    <r>
      <rPr>
        <sz val="11"/>
        <color theme="1"/>
        <rFont val="Calibri"/>
        <family val="2"/>
        <scheme val="minor"/>
      </rPr>
      <t>"
"</t>
    </r>
    <r>
      <rPr>
        <b/>
        <sz val="11"/>
        <color theme="1"/>
        <rFont val="Calibri"/>
        <family val="2"/>
        <scheme val="minor"/>
      </rPr>
      <t>You don't have any completed screenings.</t>
    </r>
    <r>
      <rPr>
        <sz val="11"/>
        <color theme="1"/>
        <rFont val="Calibri"/>
        <family val="2"/>
        <scheme val="minor"/>
      </rPr>
      <t>"</t>
    </r>
  </si>
  <si>
    <t>1.1, 1.2, 1.3, 1.4, 1.5, 1.6, 1.7, 1.8</t>
  </si>
  <si>
    <t>18.2, 18.3, 18.4</t>
  </si>
  <si>
    <t>18.1, 18.2, 18.3, 18.4, 18.5</t>
  </si>
  <si>
    <r>
      <rPr>
        <b/>
        <sz val="11"/>
        <color theme="1"/>
        <rFont val="Calibri"/>
        <family val="2"/>
        <scheme val="minor"/>
      </rPr>
      <t>Automated Jest Unit &amp; Integration Test Suite for Custom Condition Creation, Frequency Math &amp; Outcome Logging</t>
    </r>
    <r>
      <rPr>
        <sz val="11"/>
        <color theme="1"/>
        <rFont val="Calibri"/>
        <family val="2"/>
        <scheme val="minor"/>
      </rPr>
      <t xml:space="preserve">
1. Create </t>
    </r>
    <r>
      <rPr>
        <b/>
        <sz val="11"/>
        <color theme="1"/>
        <rFont val="Calibri"/>
        <family val="2"/>
        <scheme val="minor"/>
      </rPr>
      <t xml:space="preserve">checkupp-api/tests/modules/screenings/customConditions.test.ts
2. </t>
    </r>
    <r>
      <rPr>
        <sz val="11"/>
        <color theme="1"/>
        <rFont val="Calibri"/>
        <family val="2"/>
        <scheme val="minor"/>
      </rPr>
      <t xml:space="preserve">Setup Jest + supertest against the Express server seeded with mock user user-test-uuid.
3. </t>
    </r>
    <r>
      <rPr>
        <b/>
        <sz val="11"/>
        <color theme="1"/>
        <rFont val="Calibri"/>
        <family val="2"/>
        <scheme val="minor"/>
      </rPr>
      <t>Test Case 1</t>
    </r>
    <r>
      <rPr>
        <sz val="11"/>
        <color theme="1"/>
        <rFont val="Calibri"/>
        <family val="2"/>
        <scheme val="minor"/>
      </rPr>
      <t xml:space="preserve"> (Creation - US 18.2, 18.3): Send valid payload with "Custom" frequency (customInterval: 45, customUnit: 'Days'). Assert HTTP 201 Created and database persistence.
4. </t>
    </r>
    <r>
      <rPr>
        <b/>
        <sz val="11"/>
        <color theme="1"/>
        <rFont val="Calibri"/>
        <family val="2"/>
        <scheme val="minor"/>
      </rPr>
      <t xml:space="preserve">Test Case 2 </t>
    </r>
    <r>
      <rPr>
        <sz val="11"/>
        <color theme="1"/>
        <rFont val="Calibri"/>
        <family val="2"/>
        <scheme val="minor"/>
      </rPr>
      <t xml:space="preserve">(Validation Rejection - US 18.2 AC 10): Omit careProvider or send empty conditionName. Assert HTTP 400 Bad Request.
5. </t>
    </r>
    <r>
      <rPr>
        <b/>
        <sz val="11"/>
        <color theme="1"/>
        <rFont val="Calibri"/>
        <family val="2"/>
        <scheme val="minor"/>
      </rPr>
      <t>Test Case 3</t>
    </r>
    <r>
      <rPr>
        <sz val="11"/>
        <color theme="1"/>
        <rFont val="Calibri"/>
        <family val="2"/>
        <scheme val="minor"/>
      </rPr>
      <t xml:space="preserve"> (Outcome Logging &amp; Latest Date - US 18.5):
- POST an outcome record with checkDate: "2026-08-02T00:00:00.000Z".
- Execute GET /me/screenings/custom-conditions and verify the payload returns the latest record check date to support green badge UI rendering.
6. </t>
    </r>
    <r>
      <rPr>
        <b/>
        <sz val="11"/>
        <color theme="1"/>
        <rFont val="Calibri"/>
        <family val="2"/>
        <scheme val="minor"/>
      </rPr>
      <t>Test Case 4</t>
    </r>
    <r>
      <rPr>
        <sz val="11"/>
        <color theme="1"/>
        <rFont val="Calibri"/>
        <family val="2"/>
        <scheme val="minor"/>
      </rPr>
      <t xml:space="preserve"> (Tenant Isolation): Verify another user's JWT token receives 404 when attempting to log an outcome against user-test-uuid's custom condition ID.</t>
    </r>
  </si>
  <si>
    <r>
      <rPr>
        <b/>
        <sz val="11"/>
        <color theme="1"/>
        <rFont val="Calibri"/>
        <family val="2"/>
        <scheme val="minor"/>
      </rPr>
      <t xml:space="preserve">Build SpecificConditionsTriggerCard.tsx Action Component &amp; Import into Health Checks Screening Tab
</t>
    </r>
    <r>
      <rPr>
        <sz val="11"/>
        <color theme="1"/>
        <rFont val="Calibri"/>
        <family val="2"/>
        <scheme val="minor"/>
      </rPr>
      <t xml:space="preserve">1. Create </t>
    </r>
    <r>
      <rPr>
        <b/>
        <sz val="11"/>
        <color theme="1"/>
        <rFont val="Calibri"/>
        <family val="2"/>
        <scheme val="minor"/>
      </rPr>
      <t>checkupp-mobile/components/screening/SpecificConditionsTriggerCard.tsx</t>
    </r>
    <r>
      <rPr>
        <sz val="11"/>
        <color theme="1"/>
        <rFont val="Calibri"/>
        <family val="2"/>
        <scheme val="minor"/>
      </rPr>
      <t xml:space="preserve">, </t>
    </r>
    <r>
      <rPr>
        <b/>
        <sz val="11"/>
        <color theme="1"/>
        <rFont val="Calibri"/>
        <family val="2"/>
        <scheme val="minor"/>
      </rPr>
      <t xml:space="preserve">checkupp-mobile/app/(tabs)/health-screening.tsx
2. Build Trigger Card </t>
    </r>
    <r>
      <rPr>
        <sz val="11"/>
        <color theme="1"/>
        <rFont val="Calibri"/>
        <family val="2"/>
        <scheme val="minor"/>
      </rPr>
      <t xml:space="preserve">(SpecificConditionsTriggerCard.tsx): 
- Create a modular functional React Native component styled with a clean white card border (bg-white rounded-xl border border-gray-100 p-4 mb-4).
- Render button/tab title: "Specific Conditions" in Poppins-SemiBold (font-psemibold).
- Render exact subtext (US 18.1 AC 2): "Uncommon, rare and specific conditions to me" in neutral gray (text-gray-500 font-pregular text-xs).
- Render an add icon (+) indicator on the right side using @expo/vector-icons/Ionicons (add-circle-outline or add icon with primary cyan #00CED1 tint) (US 18.1 AC 3).
- Accept prop: onPress: () =&gt; void. Wrap card in TouchableOpacity with accessible touch target (&gt;= 44px height).
2. </t>
    </r>
    <r>
      <rPr>
        <b/>
        <sz val="11"/>
        <color theme="1"/>
        <rFont val="Calibri"/>
        <family val="2"/>
        <scheme val="minor"/>
      </rPr>
      <t>Integrate into Screen</t>
    </r>
    <r>
      <rPr>
        <sz val="11"/>
        <color theme="1"/>
        <rFont val="Calibri"/>
        <family val="2"/>
        <scheme val="minor"/>
      </rPr>
      <t xml:space="preserve"> (health-screening.tsx):
- Import SpecificConditionsTriggerCard.
- Render it at the top of the "Available Health Checks" list when the "Health Checks" top tab is active.
- Attach onPress={() =&gt; setIsAddModalVisible(true)} to open the bottom sheet created.</t>
    </r>
  </si>
  <si>
    <r>
      <rPr>
        <b/>
        <sz val="11"/>
        <color theme="1"/>
        <rFont val="Calibri"/>
        <family val="2"/>
        <scheme val="minor"/>
      </rPr>
      <t>Build AddSpecificConditionModal.tsx Bottom Sheet Form with Dynamic Conditional Fields &amp; Validation</t>
    </r>
    <r>
      <rPr>
        <sz val="11"/>
        <color theme="1"/>
        <rFont val="Calibri"/>
        <family val="2"/>
        <scheme val="minor"/>
      </rPr>
      <t xml:space="preserve">
1. Create </t>
    </r>
    <r>
      <rPr>
        <b/>
        <sz val="11"/>
        <color theme="1"/>
        <rFont val="Calibri"/>
        <family val="2"/>
        <scheme val="minor"/>
      </rPr>
      <t>checkupp-mobile/components/screening/AddSpecificConditionModal.tsx</t>
    </r>
    <r>
      <rPr>
        <sz val="11"/>
        <color theme="1"/>
        <rFont val="Calibri"/>
        <family val="2"/>
        <scheme val="minor"/>
      </rPr>
      <t xml:space="preserve">
2. Modal Scaffold:
- Extend </t>
    </r>
    <r>
      <rPr>
        <b/>
        <sz val="11"/>
        <color theme="1"/>
        <rFont val="Calibri"/>
        <family val="2"/>
        <scheme val="minor"/>
      </rPr>
      <t>BaseModal.tsx</t>
    </r>
    <r>
      <rPr>
        <sz val="11"/>
        <color theme="1"/>
        <rFont val="Calibri"/>
        <family val="2"/>
        <scheme val="minor"/>
      </rPr>
      <t xml:space="preserve"> (checkupp-mobile/components/screening/shared/modals/BaseModal.tsx) configured as a bottom sheet.
- Title: "</t>
    </r>
    <r>
      <rPr>
        <b/>
        <sz val="11"/>
        <color theme="1"/>
        <rFont val="Calibri"/>
        <family val="2"/>
        <scheme val="minor"/>
      </rPr>
      <t>Add Specific Condition</t>
    </r>
    <r>
      <rPr>
        <sz val="11"/>
        <color theme="1"/>
        <rFont val="Calibri"/>
        <family val="2"/>
        <scheme val="minor"/>
      </rPr>
      <t xml:space="preserve">".
3. </t>
    </r>
    <r>
      <rPr>
        <b/>
        <sz val="11"/>
        <color theme="1"/>
        <rFont val="Calibri"/>
        <family val="2"/>
        <scheme val="minor"/>
      </rPr>
      <t>Form State &amp; Essential Inputs</t>
    </r>
    <r>
      <rPr>
        <sz val="11"/>
        <color theme="1"/>
        <rFont val="Calibri"/>
        <family val="2"/>
        <scheme val="minor"/>
      </rPr>
      <t xml:space="preserve"> (US 18.2 AC 1–4):
- </t>
    </r>
    <r>
      <rPr>
        <b/>
        <sz val="11"/>
        <color theme="1"/>
        <rFont val="Calibri"/>
        <family val="2"/>
        <scheme val="minor"/>
      </rPr>
      <t>Condition or Diagnosis</t>
    </r>
    <r>
      <rPr>
        <sz val="11"/>
        <color theme="1"/>
        <rFont val="Calibri"/>
        <family val="2"/>
        <scheme val="minor"/>
      </rPr>
      <t xml:space="preserve">: Free-text input (InputField.tsx).
- </t>
    </r>
    <r>
      <rPr>
        <b/>
        <sz val="11"/>
        <color theme="1"/>
        <rFont val="Calibri"/>
        <family val="2"/>
        <scheme val="minor"/>
      </rPr>
      <t>Monitoring Type</t>
    </r>
    <r>
      <rPr>
        <sz val="11"/>
        <color theme="1"/>
        <rFont val="Calibri"/>
        <family val="2"/>
        <scheme val="minor"/>
      </rPr>
      <t xml:space="preserve">: Dropdown selector (Picker.tsx) with options: "Blood test", "Imaging/ Radiology", "Doctor Review", "Endoscopy", "Other...".
- </t>
    </r>
    <r>
      <rPr>
        <b/>
        <sz val="11"/>
        <color theme="1"/>
        <rFont val="Calibri"/>
        <family val="2"/>
        <scheme val="minor"/>
      </rPr>
      <t>How Often?</t>
    </r>
    <r>
      <rPr>
        <sz val="11"/>
        <color theme="1"/>
        <rFont val="Calibri"/>
        <family val="2"/>
        <scheme val="minor"/>
      </rPr>
      <t xml:space="preserve">: Multi-choice selectable chips ("Monthly", "Every 3 Months", "Every 6 Months", "Annually", "Custom...").
- </t>
    </r>
    <r>
      <rPr>
        <b/>
        <sz val="11"/>
        <color theme="1"/>
        <rFont val="Calibri"/>
        <family val="2"/>
        <scheme val="minor"/>
      </rPr>
      <t>Doctor or Care Provider</t>
    </r>
    <r>
      <rPr>
        <sz val="11"/>
        <color theme="1"/>
        <rFont val="Calibri"/>
        <family val="2"/>
        <scheme val="minor"/>
      </rPr>
      <t xml:space="preserve">: Free-text input (InputField.tsx).
4. </t>
    </r>
    <r>
      <rPr>
        <b/>
        <sz val="11"/>
        <color theme="1"/>
        <rFont val="Calibri"/>
        <family val="2"/>
        <scheme val="minor"/>
      </rPr>
      <t>Conditional Dynamic UI Rendering</t>
    </r>
    <r>
      <rPr>
        <sz val="11"/>
        <color theme="1"/>
        <rFont val="Calibri"/>
        <family val="2"/>
        <scheme val="minor"/>
      </rPr>
      <t xml:space="preserve"> (US 18.2 AC 7, 8):
- When monitoringType === 'Other...': Render an additional free-text field labeled "Specify Monitoring Type".
- When frequencyType === 'Custom...': Render:
a. An engraved numeric stepper control (InputField.tsx with up/down chevrons chevron-up and chevron-down incrementing/decrementing customInterval by 1, minimum 1).
b. A secondary dropdown (Picker.tsx) with options: "Days", "Months", "Years".
5. </t>
    </r>
    <r>
      <rPr>
        <b/>
        <sz val="11"/>
        <color theme="1"/>
        <rFont val="Calibri"/>
        <family val="2"/>
        <scheme val="minor"/>
      </rPr>
      <t>Strict Mandatory Field Validation</t>
    </r>
    <r>
      <rPr>
        <sz val="11"/>
        <color theme="1"/>
        <rFont val="Calibri"/>
        <family val="2"/>
        <scheme val="minor"/>
      </rPr>
      <t xml:space="preserve"> (US 18.2 AC 10):
- Compute isFormValid: true only when condition name, monitoring type (plus custom specification if "Other..."), frequency (plus numeric interval/unit if "Custom..."), and doctor provider are all non-empty.
- Keep the primary "Save" button visually disabled (opacity-50) and untappable (disabled={!isFormValid}) until validation passes.
- When clicked, trigger callback onSave(formData) to open the confirmation modal.</t>
    </r>
  </si>
  <si>
    <r>
      <rPr>
        <b/>
        <sz val="11"/>
        <color theme="1"/>
        <rFont val="Calibri"/>
        <family val="2"/>
        <scheme val="minor"/>
      </rPr>
      <t xml:space="preserve">Automated Jest Test Suite for Specific Conditions Trigger, Conditional Form Inputs, Modals &amp; Outcome Badges
</t>
    </r>
    <r>
      <rPr>
        <sz val="11"/>
        <color theme="1"/>
        <rFont val="Calibri"/>
        <family val="2"/>
        <scheme val="minor"/>
      </rPr>
      <t xml:space="preserve">1. Create </t>
    </r>
    <r>
      <rPr>
        <b/>
        <sz val="11"/>
        <color theme="1"/>
        <rFont val="Calibri"/>
        <family val="2"/>
        <scheme val="minor"/>
      </rPr>
      <t xml:space="preserve">checkupp-mobile/tests/screenings/specificConditionsLifecycle.test.js
</t>
    </r>
    <r>
      <rPr>
        <sz val="11"/>
        <color theme="1"/>
        <rFont val="Calibri"/>
        <family val="2"/>
        <scheme val="minor"/>
      </rPr>
      <t xml:space="preserve">2. Configure Jest + </t>
    </r>
    <r>
      <rPr>
        <b/>
        <sz val="11"/>
        <color theme="1"/>
        <rFont val="Calibri"/>
        <family val="2"/>
        <scheme val="minor"/>
      </rPr>
      <t>@testing-library/react-native</t>
    </r>
    <r>
      <rPr>
        <sz val="11"/>
        <color theme="1"/>
        <rFont val="Calibri"/>
        <family val="2"/>
        <scheme val="minor"/>
      </rPr>
      <t xml:space="preserve"> with mocked Expo Router and TanStack Query.
3. </t>
    </r>
    <r>
      <rPr>
        <b/>
        <sz val="11"/>
        <color theme="1"/>
        <rFont val="Calibri"/>
        <family val="2"/>
        <scheme val="minor"/>
      </rPr>
      <t>Test Case 1</t>
    </r>
    <r>
      <rPr>
        <sz val="11"/>
        <color theme="1"/>
        <rFont val="Calibri"/>
        <family val="2"/>
        <scheme val="minor"/>
      </rPr>
      <t xml:space="preserve"> (Trigger Card &amp; Subtext - US 18.1):Assert "Specific Conditions" card renders exact subtext "Uncommon, rare and specific conditions to me" and + icon.
3. </t>
    </r>
    <r>
      <rPr>
        <b/>
        <sz val="11"/>
        <color theme="1"/>
        <rFont val="Calibri"/>
        <family val="2"/>
        <scheme val="minor"/>
      </rPr>
      <t>Test Case 2</t>
    </r>
    <r>
      <rPr>
        <sz val="11"/>
        <color theme="1"/>
        <rFont val="Calibri"/>
        <family val="2"/>
        <scheme val="minor"/>
      </rPr>
      <t xml:space="preserve"> (Conditional Form Inputs &amp; Validation - US 18.2):Open bottom sheet. Select "Other..." monitoring -&gt; verify free-text specification field appears.Select "Custom..." frequency -&gt; verify numeric stepper chevrons and unit dropdown appear.Assert "Save" button is disabled until all required fields contain text.
4. </t>
    </r>
    <r>
      <rPr>
        <b/>
        <sz val="11"/>
        <color theme="1"/>
        <rFont val="Calibri"/>
        <family val="2"/>
        <scheme val="minor"/>
      </rPr>
      <t>Test Case 3</t>
    </r>
    <r>
      <rPr>
        <sz val="11"/>
        <color theme="1"/>
        <rFont val="Calibri"/>
        <family val="2"/>
        <scheme val="minor"/>
      </rPr>
      <t xml:space="preserve"> (Summary Confirmation &amp; Back to Editing - US 18.3):Fill valid form and click Save. Verify summary modal displays matching data.Click "Back to Editing" -&gt; assert summary modal closes and bottom sheet form inputs retain typed text.
5. </t>
    </r>
    <r>
      <rPr>
        <b/>
        <sz val="11"/>
        <color theme="1"/>
        <rFont val="Calibri"/>
        <family val="2"/>
        <scheme val="minor"/>
      </rPr>
      <t>Test Case 4</t>
    </r>
    <r>
      <rPr>
        <sz val="11"/>
        <color theme="1"/>
        <rFont val="Calibri"/>
        <family val="2"/>
        <scheme val="minor"/>
      </rPr>
      <t xml:space="preserve"> (Card Styling &amp; Green Outcome Pill Badge - US 18.4, 18.5):Render CustomConditionCard with mock latestRecordDate: "2026-08-02T00:00:00.000Z".Assert green pill badge is rendered with exact text "Last: 02 Aug 2026" and #15803D green text class.
6. </t>
    </r>
    <r>
      <rPr>
        <b/>
        <sz val="11"/>
        <color theme="1"/>
        <rFont val="Calibri"/>
        <family val="2"/>
        <scheme val="minor"/>
      </rPr>
      <t>Test Case 5</t>
    </r>
    <r>
      <rPr>
        <sz val="11"/>
        <color theme="1"/>
        <rFont val="Calibri"/>
        <family val="2"/>
        <scheme val="minor"/>
      </rPr>
      <t xml:space="preserve"> (Decision Modal &amp; Booking Navigation - US 18.4):Simulate tap on custom condition card -&gt; assert "Have you had this screening?" decision modal opens.Click "No" -&gt;assert appointment booking flow is invoked. Click "Yes" -&gt; assert LogSpecificConditionModal is invoked.</t>
    </r>
  </si>
  <si>
    <t>18.4, 18.5</t>
  </si>
  <si>
    <r>
      <rPr>
        <b/>
        <sz val="11"/>
        <color theme="1"/>
        <rFont val="Calibri"/>
        <family val="2"/>
        <scheme val="minor"/>
      </rPr>
      <t>Build ConfirmSpecificConditionModal.tsx Summary Dialog &amp; Connect TanStack Query Submission Mutation</t>
    </r>
    <r>
      <rPr>
        <sz val="11"/>
        <color theme="1"/>
        <rFont val="Calibri"/>
        <family val="2"/>
        <scheme val="minor"/>
      </rPr>
      <t xml:space="preserve">
1. Create </t>
    </r>
    <r>
      <rPr>
        <b/>
        <sz val="11"/>
        <color theme="1"/>
        <rFont val="Calibri"/>
        <family val="2"/>
        <scheme val="minor"/>
      </rPr>
      <t>checkupp-mobile/components/screening/ConfirmSpecificConditionModal.tsx</t>
    </r>
    <r>
      <rPr>
        <sz val="11"/>
        <color theme="1"/>
        <rFont val="Calibri"/>
        <family val="2"/>
        <scheme val="minor"/>
      </rPr>
      <t xml:space="preserve">, Modify </t>
    </r>
    <r>
      <rPr>
        <b/>
        <sz val="11"/>
        <color theme="1"/>
        <rFont val="Calibri"/>
        <family val="2"/>
        <scheme val="minor"/>
      </rPr>
      <t xml:space="preserve">checkupp-mobile/lib/features/screenings/mutations.ts
</t>
    </r>
    <r>
      <rPr>
        <sz val="11"/>
        <color theme="1"/>
        <rFont val="Calibri"/>
        <family val="2"/>
        <scheme val="minor"/>
      </rPr>
      <t xml:space="preserve">2. </t>
    </r>
    <r>
      <rPr>
        <b/>
        <sz val="11"/>
        <color theme="1"/>
        <rFont val="Calibri"/>
        <family val="2"/>
        <scheme val="minor"/>
      </rPr>
      <t>TanStack Query Mutation</t>
    </r>
    <r>
      <rPr>
        <sz val="11"/>
        <color theme="1"/>
        <rFont val="Calibri"/>
        <family val="2"/>
        <scheme val="minor"/>
      </rPr>
      <t xml:space="preserve"> (mutations.ts):
- Implement useCreateCustomConditionMutation() calling apiClient.post('/me/screenings/custom-conditions', payload).
- On success, invalidate query key ['screenings', 'custom-conditions'] and ['screenings', 'overview'].
3. </t>
    </r>
    <r>
      <rPr>
        <b/>
        <sz val="11"/>
        <color theme="1"/>
        <rFont val="Calibri"/>
        <family val="2"/>
        <scheme val="minor"/>
      </rPr>
      <t>Build Confirmation Modal</t>
    </r>
    <r>
      <rPr>
        <sz val="11"/>
        <color theme="1"/>
        <rFont val="Calibri"/>
        <family val="2"/>
        <scheme val="minor"/>
      </rPr>
      <t xml:space="preserve"> (ConfirmSpecificConditionModal.tsx):
- Render a centered popup modal displaying a clear summary of all entered fields: Condition Name, Monitoring Type, Frequency, and Care Provider.
- Render two accessible CTA buttons (US 18.3 AC 3–5):
a. </t>
    </r>
    <r>
      <rPr>
        <b/>
        <sz val="11"/>
        <color theme="1"/>
        <rFont val="Calibri"/>
        <family val="2"/>
        <scheme val="minor"/>
      </rPr>
      <t>Primary</t>
    </r>
    <r>
      <rPr>
        <sz val="11"/>
        <color theme="1"/>
        <rFont val="Calibri"/>
        <family val="2"/>
        <scheme val="minor"/>
      </rPr>
      <t xml:space="preserve"> Button: "Submit" (solid #00CED1 background). Clicking triggers mutate(formData). On success, close both the summary modal and bottom sheet, adding the new card to the list.
b. </t>
    </r>
    <r>
      <rPr>
        <b/>
        <sz val="11"/>
        <color theme="1"/>
        <rFont val="Calibri"/>
        <family val="2"/>
        <scheme val="minor"/>
      </rPr>
      <t>Secondary</t>
    </r>
    <r>
      <rPr>
        <sz val="11"/>
        <color theme="1"/>
        <rFont val="Calibri"/>
        <family val="2"/>
        <scheme val="minor"/>
      </rPr>
      <t xml:space="preserve"> Button: "Back to Editing" (outlined button). Clicking closes ConfirmSpecificConditionModal while keeping AddSpecificConditionModal open with all form state preserved intact.</t>
    </r>
  </si>
  <si>
    <t>Needs Review</t>
  </si>
  <si>
    <t>Date</t>
  </si>
  <si>
    <t>View Upcoming Screenings</t>
  </si>
  <si>
    <r>
      <rPr>
        <b/>
        <sz val="11"/>
        <color theme="1"/>
        <rFont val="Calibri"/>
        <family val="2"/>
        <scheme val="minor"/>
      </rPr>
      <t>Integrate "Have you had this screening?" Decision Modal &amp; Routing to Existing Forms/Booking Modal (DO THIS LIKE IT IS DONE IN OTHER EXISTING SCREENINGS)</t>
    </r>
    <r>
      <rPr>
        <sz val="11"/>
        <color theme="1"/>
        <rFont val="Calibri"/>
        <family val="2"/>
        <scheme val="minor"/>
      </rPr>
      <t xml:space="preserve">
1. Create </t>
    </r>
    <r>
      <rPr>
        <b/>
        <sz val="11"/>
        <color theme="1"/>
        <rFont val="Calibri"/>
        <family val="2"/>
        <scheme val="minor"/>
      </rPr>
      <t>checkupp-mobile/components/screening/ScreeningDecisionModal.tsx and checkupp-mobile/app/health-overview/index.tsx</t>
    </r>
    <r>
      <rPr>
        <sz val="11"/>
        <color theme="1"/>
        <rFont val="Calibri"/>
        <family val="2"/>
        <scheme val="minor"/>
      </rPr>
      <t xml:space="preserve">
2. </t>
    </r>
    <r>
      <rPr>
        <b/>
        <sz val="11"/>
        <color theme="1"/>
        <rFont val="Calibri"/>
        <family val="2"/>
        <scheme val="minor"/>
      </rPr>
      <t>Build Decision Modal</t>
    </r>
    <r>
      <rPr>
        <sz val="11"/>
        <color theme="1"/>
        <rFont val="Calibri"/>
        <family val="2"/>
        <scheme val="minor"/>
      </rPr>
      <t xml:space="preserve"> (ScreeningDecisionModal.tsx):
- Extend </t>
    </r>
    <r>
      <rPr>
        <b/>
        <sz val="11"/>
        <color theme="1"/>
        <rFont val="Calibri"/>
        <family val="2"/>
        <scheme val="minor"/>
      </rPr>
      <t>BaseModal.tsx</t>
    </r>
    <r>
      <rPr>
        <sz val="11"/>
        <color theme="1"/>
        <rFont val="Calibri"/>
        <family val="2"/>
        <scheme val="minor"/>
      </rPr>
      <t xml:space="preserve"> (</t>
    </r>
    <r>
      <rPr>
        <b/>
        <sz val="11"/>
        <color theme="1"/>
        <rFont val="Calibri"/>
        <family val="2"/>
        <scheme val="minor"/>
      </rPr>
      <t>checkupp-mobile/components/screening/shared/modals/BaseModal.tsx</t>
    </r>
    <r>
      <rPr>
        <sz val="11"/>
        <color theme="1"/>
        <rFont val="Calibri"/>
        <family val="2"/>
        <scheme val="minor"/>
      </rPr>
      <t xml:space="preserve">).
- Props: </t>
    </r>
    <r>
      <rPr>
        <b/>
        <sz val="11"/>
        <color theme="1"/>
        <rFont val="Calibri"/>
        <family val="2"/>
        <scheme val="minor"/>
      </rPr>
      <t>visible: boolean</t>
    </r>
    <r>
      <rPr>
        <sz val="11"/>
        <color theme="1"/>
        <rFont val="Calibri"/>
        <family val="2"/>
        <scheme val="minor"/>
      </rPr>
      <t xml:space="preserve">, </t>
    </r>
    <r>
      <rPr>
        <b/>
        <sz val="11"/>
        <color theme="1"/>
        <rFont val="Calibri"/>
        <family val="2"/>
        <scheme val="minor"/>
      </rPr>
      <t>item: ScreeningOverviewItem | null</t>
    </r>
    <r>
      <rPr>
        <sz val="11"/>
        <color theme="1"/>
        <rFont val="Calibri"/>
        <family val="2"/>
        <scheme val="minor"/>
      </rPr>
      <t xml:space="preserve">, </t>
    </r>
    <r>
      <rPr>
        <b/>
        <sz val="11"/>
        <color theme="1"/>
        <rFont val="Calibri"/>
        <family val="2"/>
        <scheme val="minor"/>
      </rPr>
      <t>onClose: () =&gt; void</t>
    </r>
    <r>
      <rPr>
        <sz val="11"/>
        <color theme="1"/>
        <rFont val="Calibri"/>
        <family val="2"/>
        <scheme val="minor"/>
      </rPr>
      <t xml:space="preserve">, </t>
    </r>
    <r>
      <rPr>
        <b/>
        <sz val="11"/>
        <color theme="1"/>
        <rFont val="Calibri"/>
        <family val="2"/>
        <scheme val="minor"/>
      </rPr>
      <t>onSelectYes: () =&gt; void</t>
    </r>
    <r>
      <rPr>
        <sz val="11"/>
        <color theme="1"/>
        <rFont val="Calibri"/>
        <family val="2"/>
        <scheme val="minor"/>
      </rPr>
      <t xml:space="preserve">, </t>
    </r>
    <r>
      <rPr>
        <b/>
        <sz val="11"/>
        <color theme="1"/>
        <rFont val="Calibri"/>
        <family val="2"/>
        <scheme val="minor"/>
      </rPr>
      <t>onSelectNo: () =&gt; void.</t>
    </r>
    <r>
      <rPr>
        <sz val="11"/>
        <color theme="1"/>
        <rFont val="Calibri"/>
        <family val="2"/>
        <scheme val="minor"/>
      </rPr>
      <t xml:space="preserve">
- Display the screening name (</t>
    </r>
    <r>
      <rPr>
        <b/>
        <sz val="11"/>
        <color theme="1"/>
        <rFont val="Calibri"/>
        <family val="2"/>
        <scheme val="minor"/>
      </rPr>
      <t>item?.name</t>
    </r>
    <r>
      <rPr>
        <sz val="11"/>
        <color theme="1"/>
        <rFont val="Calibri"/>
        <family val="2"/>
        <scheme val="minor"/>
      </rPr>
      <t>) as header subtitle.
- Render prompt string exactly: "</t>
    </r>
    <r>
      <rPr>
        <b/>
        <sz val="11"/>
        <color theme="1"/>
        <rFont val="Calibri"/>
        <family val="2"/>
        <scheme val="minor"/>
      </rPr>
      <t>Have you had this screening?</t>
    </r>
    <r>
      <rPr>
        <sz val="11"/>
        <color theme="1"/>
        <rFont val="Calibri"/>
        <family val="2"/>
        <scheme val="minor"/>
      </rPr>
      <t>" (US 1.5 AC 2).
- Render two accessible CTA buttons: "</t>
    </r>
    <r>
      <rPr>
        <b/>
        <sz val="11"/>
        <color theme="1"/>
        <rFont val="Calibri"/>
        <family val="2"/>
        <scheme val="minor"/>
      </rPr>
      <t>Yes</t>
    </r>
    <r>
      <rPr>
        <sz val="11"/>
        <color theme="1"/>
        <rFont val="Calibri"/>
        <family val="2"/>
        <scheme val="minor"/>
      </rPr>
      <t>" (Primary #00CED1) and "</t>
    </r>
    <r>
      <rPr>
        <b/>
        <sz val="11"/>
        <color theme="1"/>
        <rFont val="Calibri"/>
        <family val="2"/>
        <scheme val="minor"/>
      </rPr>
      <t>No</t>
    </r>
    <r>
      <rPr>
        <sz val="11"/>
        <color theme="1"/>
        <rFont val="Calibri"/>
        <family val="2"/>
        <scheme val="minor"/>
      </rPr>
      <t xml:space="preserve">" (Secondary outline).
3. </t>
    </r>
    <r>
      <rPr>
        <b/>
        <sz val="11"/>
        <color theme="1"/>
        <rFont val="Calibri"/>
        <family val="2"/>
        <scheme val="minor"/>
      </rPr>
      <t>Connect Routing &amp; Actions</t>
    </r>
    <r>
      <rPr>
        <sz val="11"/>
        <color theme="1"/>
        <rFont val="Calibri"/>
        <family val="2"/>
        <scheme val="minor"/>
      </rPr>
      <t xml:space="preserve">:
- In </t>
    </r>
    <r>
      <rPr>
        <b/>
        <sz val="11"/>
        <color theme="1"/>
        <rFont val="Calibri"/>
        <family val="2"/>
        <scheme val="minor"/>
      </rPr>
      <t>checkupp-mobile/app/health-overview/index.tsx</t>
    </r>
    <r>
      <rPr>
        <sz val="11"/>
        <color theme="1"/>
        <rFont val="Calibri"/>
        <family val="2"/>
        <scheme val="minor"/>
      </rPr>
      <t xml:space="preserve">, when a card is pressed, set </t>
    </r>
    <r>
      <rPr>
        <b/>
        <sz val="11"/>
        <color theme="1"/>
        <rFont val="Calibri"/>
        <family val="2"/>
        <scheme val="minor"/>
      </rPr>
      <t>selectedItem</t>
    </r>
    <r>
      <rPr>
        <sz val="11"/>
        <color theme="1"/>
        <rFont val="Calibri"/>
        <family val="2"/>
        <scheme val="minor"/>
      </rPr>
      <t xml:space="preserve"> and open </t>
    </r>
    <r>
      <rPr>
        <b/>
        <sz val="11"/>
        <color theme="1"/>
        <rFont val="Calibri"/>
        <family val="2"/>
        <scheme val="minor"/>
      </rPr>
      <t>ScreeningDecisionModal</t>
    </r>
    <r>
      <rPr>
        <sz val="11"/>
        <color theme="1"/>
        <rFont val="Calibri"/>
        <family val="2"/>
        <scheme val="minor"/>
      </rPr>
      <t>.
- On "</t>
    </r>
    <r>
      <rPr>
        <b/>
        <sz val="11"/>
        <color theme="1"/>
        <rFont val="Calibri"/>
        <family val="2"/>
        <scheme val="minor"/>
      </rPr>
      <t>Yes</t>
    </r>
    <r>
      <rPr>
        <sz val="11"/>
        <color theme="1"/>
        <rFont val="Calibri"/>
        <family val="2"/>
        <scheme val="minor"/>
      </rPr>
      <t xml:space="preserve">" tap (US 1.5 AC 4):
a. Dismiss modal and route to the existing data entry form: </t>
    </r>
    <r>
      <rPr>
        <b/>
        <sz val="11"/>
        <color theme="1"/>
        <rFont val="Calibri"/>
        <family val="2"/>
        <scheme val="minor"/>
      </rPr>
      <t>router.push({ pathname: '/(tabs)/health-screening', params: { openFormFor: selectedItem.id, type: selectedItem.screeningType } })</t>
    </r>
    <r>
      <rPr>
        <sz val="11"/>
        <color theme="1"/>
        <rFont val="Calibri"/>
        <family val="2"/>
        <scheme val="minor"/>
      </rPr>
      <t>.
b. Upon successful form submission, TanStack Query invalidation (</t>
    </r>
    <r>
      <rPr>
        <b/>
        <sz val="11"/>
        <color theme="1"/>
        <rFont val="Calibri"/>
        <family val="2"/>
        <scheme val="minor"/>
      </rPr>
      <t>queryClient.invalidateQueries({ queryKey: ['screenings', 'overview'] })</t>
    </r>
    <r>
      <rPr>
        <sz val="11"/>
        <color theme="1"/>
        <rFont val="Calibri"/>
        <family val="2"/>
        <scheme val="minor"/>
      </rPr>
      <t xml:space="preserve">) ensures the card immediately transitions to </t>
    </r>
    <r>
      <rPr>
        <b/>
        <sz val="11"/>
        <color theme="1"/>
        <rFont val="Calibri"/>
        <family val="2"/>
        <scheme val="minor"/>
      </rPr>
      <t>Completed</t>
    </r>
    <r>
      <rPr>
        <sz val="11"/>
        <color theme="1"/>
        <rFont val="Calibri"/>
        <family val="2"/>
        <scheme val="minor"/>
      </rPr>
      <t xml:space="preserve"> and tab count badges update (US 1.6).
- On "</t>
    </r>
    <r>
      <rPr>
        <b/>
        <sz val="11"/>
        <color theme="1"/>
        <rFont val="Calibri"/>
        <family val="2"/>
        <scheme val="minor"/>
      </rPr>
      <t>No</t>
    </r>
    <r>
      <rPr>
        <sz val="11"/>
        <color theme="1"/>
        <rFont val="Calibri"/>
        <family val="2"/>
        <scheme val="minor"/>
      </rPr>
      <t>" tap (US 1.5 AC 5):
Dismiss modal and open the existing appointment booking modal (</t>
    </r>
    <r>
      <rPr>
        <b/>
        <sz val="11"/>
        <color theme="1"/>
        <rFont val="Calibri"/>
        <family val="2"/>
        <scheme val="minor"/>
      </rPr>
      <t>bookingFlow.ts</t>
    </r>
    <r>
      <rPr>
        <sz val="11"/>
        <color theme="1"/>
        <rFont val="Calibri"/>
        <family val="2"/>
        <scheme val="minor"/>
      </rPr>
      <t xml:space="preserve"> / appointment booking modal component).</t>
    </r>
  </si>
  <si>
    <r>
      <rPr>
        <b/>
        <sz val="11"/>
        <color theme="1"/>
        <rFont val="Calibri"/>
        <family val="2"/>
        <scheme val="minor"/>
      </rPr>
      <t>Build Reusable CustomConditionCard.tsx Component with Distinctive Styling &amp; Green "Last: [Date]" Pill Badge (DO THIS LIKE IT IS DONE IN OTHER EXISTING SCREENINGS)</t>
    </r>
    <r>
      <rPr>
        <sz val="11"/>
        <color theme="1"/>
        <rFont val="Calibri"/>
        <family val="2"/>
        <scheme val="minor"/>
      </rPr>
      <t xml:space="preserve">
1. Create </t>
    </r>
    <r>
      <rPr>
        <b/>
        <sz val="11"/>
        <color theme="1"/>
        <rFont val="Calibri"/>
        <family val="2"/>
        <scheme val="minor"/>
      </rPr>
      <t>checkupp-mobile/components/screening/CustomConditionCard.tsx</t>
    </r>
    <r>
      <rPr>
        <sz val="11"/>
        <color theme="1"/>
        <rFont val="Calibri"/>
        <family val="2"/>
        <scheme val="minor"/>
      </rPr>
      <t xml:space="preserve">
2. </t>
    </r>
    <r>
      <rPr>
        <b/>
        <sz val="11"/>
        <color theme="1"/>
        <rFont val="Calibri"/>
        <family val="2"/>
        <scheme val="minor"/>
      </rPr>
      <t>Props Interface</t>
    </r>
    <r>
      <rPr>
        <sz val="11"/>
        <color theme="1"/>
        <rFont val="Calibri"/>
        <family val="2"/>
        <scheme val="minor"/>
      </rPr>
      <t xml:space="preserve">:
TypeScript
export interface CustomConditionCardProps {
  item: CustomConditionItem;
  onPress: (item: CustomConditionItem) =&gt; void;
}
3. </t>
    </r>
    <r>
      <rPr>
        <b/>
        <sz val="11"/>
        <color theme="1"/>
        <rFont val="Calibri"/>
        <family val="2"/>
        <scheme val="minor"/>
      </rPr>
      <t>Distinctive Custom Styling</t>
    </r>
    <r>
      <rPr>
        <sz val="11"/>
        <color theme="1"/>
        <rFont val="Calibri"/>
        <family val="2"/>
        <scheme val="minor"/>
      </rPr>
      <t xml:space="preserve"> (US 18.4 AC 1, 2, 3):
- Apply visual distinction from default system screenings while keeping structural layout identical: use a subtle teal/cyan border accent (border-l-4 border-l-[#00CED1] bg-white rounded-xl border border-gray-100 p-4 mb-3).
- Display condition Name (item.conditionName) in Poppins-Medium and frequency (item.frequencyType, formatting custom interval if applicable, e.g., "Every 45 Days") as subtitle.
- Display chevron-forward icon from @expo/vector-icons/Ionicons on the far right.
4.  </t>
    </r>
    <r>
      <rPr>
        <b/>
        <sz val="11"/>
        <color theme="1"/>
        <rFont val="Calibri"/>
        <family val="2"/>
        <scheme val="minor"/>
      </rPr>
      <t>Green Outcome Pill Badge Support</t>
    </r>
    <r>
      <rPr>
        <sz val="11"/>
        <color theme="1"/>
        <rFont val="Calibri"/>
        <family val="2"/>
        <scheme val="minor"/>
      </rPr>
      <t xml:space="preserve"> (US 18.5 AC 6):
- If item.latestRecordDate exists, render a soft green pill badge in the top-right corner of the card:
a. Background #DCFCE7 (bg-green-100), text #15803D (text-green-800 text-xs font-psemibold px-2.5 py-1 rounded-full).
b. Format string exactly as mandated: "Last: [Today's Logging Date]" (e.g., format(new Date(item.latestRecordDate), "'Last:' dd MMM yyyy")).</t>
    </r>
  </si>
  <si>
    <r>
      <rPr>
        <b/>
        <sz val="11"/>
        <color theme="1"/>
        <rFont val="Calibri"/>
        <family val="2"/>
        <scheme val="minor"/>
      </rPr>
      <t>Integrate Custom Condition List Rendering &amp; Wire Existing Decision Modal ("Have you had this screening?") (DO THIS LIKE IT IS DONE IN OTHER EXISTING SCREENINGS)</t>
    </r>
    <r>
      <rPr>
        <sz val="11"/>
        <color theme="1"/>
        <rFont val="Calibri"/>
        <family val="2"/>
        <scheme val="minor"/>
      </rPr>
      <t xml:space="preserve">
1. Modify </t>
    </r>
    <r>
      <rPr>
        <b/>
        <sz val="11"/>
        <color theme="1"/>
        <rFont val="Calibri"/>
        <family val="2"/>
        <scheme val="minor"/>
      </rPr>
      <t>checkupp-mobile/app/(tabs)/health-screening.tsx</t>
    </r>
    <r>
      <rPr>
        <sz val="11"/>
        <color theme="1"/>
        <rFont val="Calibri"/>
        <family val="2"/>
        <scheme val="minor"/>
      </rPr>
      <t xml:space="preserve">, </t>
    </r>
    <r>
      <rPr>
        <b/>
        <sz val="11"/>
        <color theme="1"/>
        <rFont val="Calibri"/>
        <family val="2"/>
        <scheme val="minor"/>
      </rPr>
      <t>checkupp-mobile/lib/features/screenings/queries.ts
2. Data Query &amp; List Rendering</t>
    </r>
    <r>
      <rPr>
        <sz val="11"/>
        <color theme="1"/>
        <rFont val="Calibri"/>
        <family val="2"/>
        <scheme val="minor"/>
      </rPr>
      <t xml:space="preserve">:
- Implement useCustomConditionsQuery(userId) in queries.ts fetching GET /me/screenings/custom-conditions.
- In health-screening.tsx, merge/render CustomConditionCard components inside the "Available Health Checks" FlatList directly below the trigger card.
3. </t>
    </r>
    <r>
      <rPr>
        <b/>
        <sz val="11"/>
        <color theme="1"/>
        <rFont val="Calibri"/>
        <family val="2"/>
        <scheme val="minor"/>
      </rPr>
      <t>Wire Decision Modal</t>
    </r>
    <r>
      <rPr>
        <sz val="11"/>
        <color theme="1"/>
        <rFont val="Calibri"/>
        <family val="2"/>
        <scheme val="minor"/>
      </rPr>
      <t xml:space="preserve"> (US 18.4 AC 4–7):
- When CustomConditionCard is tapped (onPress), open the app's existing ScreeningDecisionModal ("Have you had this screening?").
- Pass the custom condition name as subtitle.
- On "</t>
    </r>
    <r>
      <rPr>
        <b/>
        <sz val="11"/>
        <color theme="1"/>
        <rFont val="Calibri"/>
        <family val="2"/>
        <scheme val="minor"/>
      </rPr>
      <t>Yes</t>
    </r>
    <r>
      <rPr>
        <sz val="11"/>
        <color theme="1"/>
        <rFont val="Calibri"/>
        <family val="2"/>
        <scheme val="minor"/>
      </rPr>
      <t>" tap (AC 6): Close decision modal and open LogSpecificConditionModal (FE-18.6) passing customConditionId and metadata.
- On "</t>
    </r>
    <r>
      <rPr>
        <b/>
        <sz val="11"/>
        <color theme="1"/>
        <rFont val="Calibri"/>
        <family val="2"/>
        <scheme val="minor"/>
      </rPr>
      <t>No</t>
    </r>
    <r>
      <rPr>
        <sz val="11"/>
        <color theme="1"/>
        <rFont val="Calibri"/>
        <family val="2"/>
        <scheme val="minor"/>
      </rPr>
      <t>" tap (AC 7): Close decision modal and open the app's existing appointment booking modal (bookingFlow.ts).</t>
    </r>
  </si>
  <si>
    <r>
      <rPr>
        <b/>
        <sz val="11"/>
        <color theme="1"/>
        <rFont val="Calibri"/>
        <family val="2"/>
        <scheme val="minor"/>
      </rPr>
      <t>Build LogSpecificConditionModal.tsx Full-Screen Outcome Form &amp; Wire Save Mutation (DO THIS LIKE IT IS DONE IN OTHER EXISTING SCREENINGS FORMS)</t>
    </r>
    <r>
      <rPr>
        <sz val="11"/>
        <color theme="1"/>
        <rFont val="Calibri"/>
        <family val="2"/>
        <scheme val="minor"/>
      </rPr>
      <t xml:space="preserve">
1. Create </t>
    </r>
    <r>
      <rPr>
        <b/>
        <sz val="11"/>
        <color theme="1"/>
        <rFont val="Calibri"/>
        <family val="2"/>
        <scheme val="minor"/>
      </rPr>
      <t>checkupp-mobile/components/screening/LogSpecificConditionModal.tsx</t>
    </r>
    <r>
      <rPr>
        <sz val="11"/>
        <color theme="1"/>
        <rFont val="Calibri"/>
        <family val="2"/>
        <scheme val="minor"/>
      </rPr>
      <t xml:space="preserve">, </t>
    </r>
    <r>
      <rPr>
        <b/>
        <sz val="11"/>
        <color theme="1"/>
        <rFont val="Calibri"/>
        <family val="2"/>
        <scheme val="minor"/>
      </rPr>
      <t xml:space="preserve">checkupp-mobile/lib/features/screenings/mutations.ts
</t>
    </r>
    <r>
      <rPr>
        <sz val="11"/>
        <color theme="1"/>
        <rFont val="Calibri"/>
        <family val="2"/>
        <scheme val="minor"/>
      </rPr>
      <t xml:space="preserve">2. </t>
    </r>
    <r>
      <rPr>
        <b/>
        <sz val="11"/>
        <color theme="1"/>
        <rFont val="Calibri"/>
        <family val="2"/>
        <scheme val="minor"/>
      </rPr>
      <t>Full-Screen Modal Scaffold</t>
    </r>
    <r>
      <rPr>
        <sz val="11"/>
        <color theme="1"/>
        <rFont val="Calibri"/>
        <family val="2"/>
        <scheme val="minor"/>
      </rPr>
      <t xml:space="preserve"> (US 18.5 AC 1):
- Build full-screen modal view with header displaying read-only metadata: condition name, monitoring type, frequency, and care provider.
3. </t>
    </r>
    <r>
      <rPr>
        <b/>
        <sz val="11"/>
        <color theme="1"/>
        <rFont val="Calibri"/>
        <family val="2"/>
        <scheme val="minor"/>
      </rPr>
      <t>Form Input Components</t>
    </r>
    <r>
      <rPr>
        <sz val="11"/>
        <color theme="1"/>
        <rFont val="Calibri"/>
        <family val="2"/>
        <scheme val="minor"/>
      </rPr>
      <t xml:space="preserve"> (US 18.5 AC 2, 3, 4):
- Date of Check: Use DatePickerInput.tsx defaulting to current system date (new Date()). Allow user selection up to current date.
- Outcome or Clinical Notes: Spacious multi-line free-text area (InputField.tsx with multiline={true} and numberOfLines={4}).
4. </t>
    </r>
    <r>
      <rPr>
        <b/>
        <sz val="11"/>
        <color theme="1"/>
        <rFont val="Calibri"/>
        <family val="2"/>
        <scheme val="minor"/>
      </rPr>
      <t>CTA Buttons &amp; Workflow</t>
    </r>
    <r>
      <rPr>
        <sz val="11"/>
        <color theme="1"/>
        <rFont val="Calibri"/>
        <family val="2"/>
        <scheme val="minor"/>
      </rPr>
      <t xml:space="preserve"> (US 18.5 AC 4, 5, 6):
- </t>
    </r>
    <r>
      <rPr>
        <b/>
        <sz val="11"/>
        <color theme="1"/>
        <rFont val="Calibri"/>
        <family val="2"/>
        <scheme val="minor"/>
      </rPr>
      <t>Sticky footer</t>
    </r>
    <r>
      <rPr>
        <sz val="11"/>
        <color theme="1"/>
        <rFont val="Calibri"/>
        <family val="2"/>
        <scheme val="minor"/>
      </rPr>
      <t xml:space="preserve"> with two buttons:
a. </t>
    </r>
    <r>
      <rPr>
        <b/>
        <sz val="11"/>
        <color theme="1"/>
        <rFont val="Calibri"/>
        <family val="2"/>
        <scheme val="minor"/>
      </rPr>
      <t>Secondary</t>
    </r>
    <r>
      <rPr>
        <sz val="11"/>
        <color theme="1"/>
        <rFont val="Calibri"/>
        <family val="2"/>
        <scheme val="minor"/>
      </rPr>
      <t xml:space="preserve">: Cancel: Tapping closes modal and returns user to Available Health Checks - Health Checks top tab - Screenings bottom tab with zero data persistence.
b. </t>
    </r>
    <r>
      <rPr>
        <b/>
        <sz val="11"/>
        <color theme="1"/>
        <rFont val="Calibri"/>
        <family val="2"/>
        <scheme val="minor"/>
      </rPr>
      <t>Primary</t>
    </r>
    <r>
      <rPr>
        <sz val="11"/>
        <color theme="1"/>
        <rFont val="Calibri"/>
        <family val="2"/>
        <scheme val="minor"/>
      </rPr>
      <t>: Save: Tapping executes useLogCustomConditionRecordMutation({ customConditionId, checkDate, outcomeNotes }).
- Upon success, invalidate query ['screenings', 'custom-conditions'], close full-screen modal, return user to Health Checks list, and confirm the card now displays the green "Last: [Today's Logging Date]" pill badge.</t>
    </r>
  </si>
  <si>
    <r>
      <rPr>
        <b/>
        <sz val="11"/>
        <color theme="1"/>
        <rFont val="Calibri"/>
        <family val="2"/>
        <scheme val="minor"/>
      </rPr>
      <t>Build Reusable ScreeningOverviewCard.tsx Component with Overdue Red Styling &amp; Tap Handlers</t>
    </r>
    <r>
      <rPr>
        <sz val="11"/>
        <color theme="1"/>
        <rFont val="Calibri"/>
        <family val="2"/>
        <scheme val="minor"/>
      </rPr>
      <t xml:space="preserve">
1. Create </t>
    </r>
    <r>
      <rPr>
        <b/>
        <sz val="11"/>
        <color theme="1"/>
        <rFont val="Calibri"/>
        <family val="2"/>
        <scheme val="minor"/>
      </rPr>
      <t>checkupp-mobile/components/screening/ScreeningOverviewCard.tsx</t>
    </r>
    <r>
      <rPr>
        <sz val="11"/>
        <color theme="1"/>
        <rFont val="Calibri"/>
        <family val="2"/>
        <scheme val="minor"/>
      </rPr>
      <t xml:space="preserve">
2. </t>
    </r>
    <r>
      <rPr>
        <b/>
        <sz val="11"/>
        <color theme="1"/>
        <rFont val="Calibri"/>
        <family val="2"/>
        <scheme val="minor"/>
      </rPr>
      <t>Props Interface</t>
    </r>
    <r>
      <rPr>
        <sz val="11"/>
        <color theme="1"/>
        <rFont val="Calibri"/>
        <family val="2"/>
        <scheme val="minor"/>
      </rPr>
      <t xml:space="preserve">:
TypeScript
export interface ScreeningOverviewCardProps {
  item: ScreeningOverviewItem;
  type: 'upcoming' | 'due' | 'completed';
  onPress: (item: ScreeningOverviewItem) =&gt; void;
}
3. </t>
    </r>
    <r>
      <rPr>
        <b/>
        <sz val="11"/>
        <color theme="1"/>
        <rFont val="Calibri"/>
        <family val="2"/>
        <scheme val="minor"/>
      </rPr>
      <t>Card Content</t>
    </r>
    <r>
      <rPr>
        <sz val="11"/>
        <color theme="1"/>
        <rFont val="Calibri"/>
        <family val="2"/>
        <scheme val="minor"/>
      </rPr>
      <t>:
- Render the screening name (</t>
    </r>
    <r>
      <rPr>
        <b/>
        <sz val="11"/>
        <color theme="1"/>
        <rFont val="Calibri"/>
        <family val="2"/>
        <scheme val="minor"/>
      </rPr>
      <t>item.name</t>
    </r>
    <r>
      <rPr>
        <sz val="11"/>
        <color theme="1"/>
        <rFont val="Calibri"/>
        <family val="2"/>
        <scheme val="minor"/>
      </rPr>
      <t xml:space="preserve">) in </t>
    </r>
    <r>
      <rPr>
        <b/>
        <sz val="11"/>
        <color theme="1"/>
        <rFont val="Calibri"/>
        <family val="2"/>
        <scheme val="minor"/>
      </rPr>
      <t>Poppins-Medium</t>
    </r>
    <r>
      <rPr>
        <sz val="11"/>
        <color theme="1"/>
        <rFont val="Calibri"/>
        <family val="2"/>
        <scheme val="minor"/>
      </rPr>
      <t xml:space="preserve"> (</t>
    </r>
    <r>
      <rPr>
        <b/>
        <sz val="11"/>
        <color theme="1"/>
        <rFont val="Calibri"/>
        <family val="2"/>
        <scheme val="minor"/>
      </rPr>
      <t>font-pmedium</t>
    </r>
    <r>
      <rPr>
        <sz val="11"/>
        <color theme="1"/>
        <rFont val="Calibri"/>
        <family val="2"/>
        <scheme val="minor"/>
      </rPr>
      <t xml:space="preserve">).
- Format </t>
    </r>
    <r>
      <rPr>
        <b/>
        <sz val="11"/>
        <color theme="1"/>
        <rFont val="Calibri"/>
        <family val="2"/>
        <scheme val="minor"/>
      </rPr>
      <t>item.date</t>
    </r>
    <r>
      <rPr>
        <sz val="11"/>
        <color theme="1"/>
        <rFont val="Calibri"/>
        <family val="2"/>
        <scheme val="minor"/>
      </rPr>
      <t xml:space="preserve"> using </t>
    </r>
    <r>
      <rPr>
        <b/>
        <sz val="11"/>
        <color theme="1"/>
        <rFont val="Calibri"/>
        <family val="2"/>
        <scheme val="minor"/>
      </rPr>
      <t>date-fns</t>
    </r>
    <r>
      <rPr>
        <sz val="11"/>
        <color theme="1"/>
        <rFont val="Calibri"/>
        <family val="2"/>
        <scheme val="minor"/>
      </rPr>
      <t xml:space="preserve">: </t>
    </r>
    <r>
      <rPr>
        <b/>
        <sz val="11"/>
        <color theme="1"/>
        <rFont val="Calibri"/>
        <family val="2"/>
        <scheme val="minor"/>
      </rPr>
      <t>format(new Date(item.date), "dd MMM yyyy")</t>
    </r>
    <r>
      <rPr>
        <sz val="11"/>
        <color theme="1"/>
        <rFont val="Calibri"/>
        <family val="2"/>
        <scheme val="minor"/>
      </rPr>
      <t xml:space="preserve"> accompanied by a calendar icon </t>
    </r>
    <r>
      <rPr>
        <b/>
        <sz val="11"/>
        <color theme="1"/>
        <rFont val="Calibri"/>
        <family val="2"/>
        <scheme val="minor"/>
      </rPr>
      <t>(@expo/vector-icons/Ionicons calendar-outline</t>
    </r>
    <r>
      <rPr>
        <sz val="11"/>
        <color theme="1"/>
        <rFont val="Calibri"/>
        <family val="2"/>
        <scheme val="minor"/>
      </rPr>
      <t xml:space="preserve">).
- Implement an accessible touch target (&gt;= 44px height) wrapped in </t>
    </r>
    <r>
      <rPr>
        <b/>
        <sz val="11"/>
        <color theme="1"/>
        <rFont val="Calibri"/>
        <family val="2"/>
        <scheme val="minor"/>
      </rPr>
      <t>TouchableOpacity</t>
    </r>
    <r>
      <rPr>
        <sz val="11"/>
        <color theme="1"/>
        <rFont val="Calibri"/>
        <family val="2"/>
        <scheme val="minor"/>
      </rPr>
      <t xml:space="preserve">.
4. </t>
    </r>
    <r>
      <rPr>
        <b/>
        <sz val="11"/>
        <color theme="1"/>
        <rFont val="Calibri"/>
        <family val="2"/>
        <scheme val="minor"/>
      </rPr>
      <t>Overdue Highlight Styling (US 1.3 AC 2)</t>
    </r>
    <r>
      <rPr>
        <sz val="11"/>
        <color theme="1"/>
        <rFont val="Calibri"/>
        <family val="2"/>
        <scheme val="minor"/>
      </rPr>
      <t xml:space="preserve">:
- When </t>
    </r>
    <r>
      <rPr>
        <b/>
        <sz val="11"/>
        <color theme="1"/>
        <rFont val="Calibri"/>
        <family val="2"/>
        <scheme val="minor"/>
      </rPr>
      <t>type === 'due'</t>
    </r>
    <r>
      <rPr>
        <sz val="11"/>
        <color theme="1"/>
        <rFont val="Calibri"/>
        <family val="2"/>
        <scheme val="minor"/>
      </rPr>
      <t xml:space="preserve"> AND </t>
    </r>
    <r>
      <rPr>
        <b/>
        <sz val="11"/>
        <color theme="1"/>
        <rFont val="Calibri"/>
        <family val="2"/>
        <scheme val="minor"/>
      </rPr>
      <t>item.isOverdue === true</t>
    </r>
    <r>
      <rPr>
        <sz val="11"/>
        <color theme="1"/>
        <rFont val="Calibri"/>
        <family val="2"/>
        <scheme val="minor"/>
      </rPr>
      <t xml:space="preserve">:
a. Apply distinctive red card styling: border color </t>
    </r>
    <r>
      <rPr>
        <b/>
        <sz val="11"/>
        <color theme="1"/>
        <rFont val="Calibri"/>
        <family val="2"/>
        <scheme val="minor"/>
      </rPr>
      <t>#EF4444</t>
    </r>
    <r>
      <rPr>
        <sz val="11"/>
        <color theme="1"/>
        <rFont val="Calibri"/>
        <family val="2"/>
        <scheme val="minor"/>
      </rPr>
      <t xml:space="preserve"> (</t>
    </r>
    <r>
      <rPr>
        <b/>
        <sz val="11"/>
        <color theme="1"/>
        <rFont val="Calibri"/>
        <family val="2"/>
        <scheme val="minor"/>
      </rPr>
      <t>border-red-500</t>
    </r>
    <r>
      <rPr>
        <sz val="11"/>
        <color theme="1"/>
        <rFont val="Calibri"/>
        <family val="2"/>
        <scheme val="minor"/>
      </rPr>
      <t xml:space="preserve">), background tint </t>
    </r>
    <r>
      <rPr>
        <b/>
        <sz val="11"/>
        <color theme="1"/>
        <rFont val="Calibri"/>
        <family val="2"/>
        <scheme val="minor"/>
      </rPr>
      <t>#FEF2F2</t>
    </r>
    <r>
      <rPr>
        <sz val="11"/>
        <color theme="1"/>
        <rFont val="Calibri"/>
        <family val="2"/>
        <scheme val="minor"/>
      </rPr>
      <t xml:space="preserve"> (</t>
    </r>
    <r>
      <rPr>
        <b/>
        <sz val="11"/>
        <color theme="1"/>
        <rFont val="Calibri"/>
        <family val="2"/>
        <scheme val="minor"/>
      </rPr>
      <t>bg-red-50</t>
    </r>
    <r>
      <rPr>
        <sz val="11"/>
        <color theme="1"/>
        <rFont val="Calibri"/>
        <family val="2"/>
        <scheme val="minor"/>
      </rPr>
      <t xml:space="preserve">), and date text color </t>
    </r>
    <r>
      <rPr>
        <b/>
        <sz val="11"/>
        <color theme="1"/>
        <rFont val="Calibri"/>
        <family val="2"/>
        <scheme val="minor"/>
      </rPr>
      <t>#DC2626</t>
    </r>
    <r>
      <rPr>
        <sz val="11"/>
        <color theme="1"/>
        <rFont val="Calibri"/>
        <family val="2"/>
        <scheme val="minor"/>
      </rPr>
      <t xml:space="preserve"> (</t>
    </r>
    <r>
      <rPr>
        <b/>
        <sz val="11"/>
        <color theme="1"/>
        <rFont val="Calibri"/>
        <family val="2"/>
        <scheme val="minor"/>
      </rPr>
      <t>text-red-600</t>
    </r>
    <r>
      <rPr>
        <sz val="11"/>
        <color theme="1"/>
        <rFont val="Calibri"/>
        <family val="2"/>
        <scheme val="minor"/>
      </rPr>
      <t xml:space="preserve">).
b. Render a distinct text pill badge following wireframe: </t>
    </r>
    <r>
      <rPr>
        <b/>
        <sz val="11"/>
        <color theme="1"/>
        <rFont val="Calibri"/>
        <family val="2"/>
        <scheme val="minor"/>
      </rPr>
      <t xml:space="preserve">"no. of days/months/year/years ago" </t>
    </r>
    <r>
      <rPr>
        <sz val="11"/>
        <color theme="1"/>
        <rFont val="Calibri"/>
        <family val="2"/>
        <scheme val="minor"/>
      </rPr>
      <t xml:space="preserve">(e.g. </t>
    </r>
    <r>
      <rPr>
        <sz val="11"/>
        <color rgb="FFFF0000"/>
        <rFont val="Calibri"/>
        <family val="2"/>
        <scheme val="minor"/>
      </rPr>
      <t>2 months ago</t>
    </r>
    <r>
      <rPr>
        <sz val="11"/>
        <color theme="1"/>
        <rFont val="Calibri"/>
        <family val="2"/>
        <scheme val="minor"/>
      </rPr>
      <t xml:space="preserve">, </t>
    </r>
    <r>
      <rPr>
        <sz val="11"/>
        <color rgb="FFFF0000"/>
        <rFont val="Calibri"/>
        <family val="2"/>
        <scheme val="minor"/>
      </rPr>
      <t>1 year ago</t>
    </r>
    <r>
      <rPr>
        <sz val="11"/>
        <color theme="1"/>
        <rFont val="Calibri"/>
        <family val="2"/>
        <scheme val="minor"/>
      </rPr>
      <t xml:space="preserve">, </t>
    </r>
    <r>
      <rPr>
        <sz val="11"/>
        <color rgb="FFFF0000"/>
        <rFont val="Calibri"/>
        <family val="2"/>
        <scheme val="minor"/>
      </rPr>
      <t>5 days ago</t>
    </r>
    <r>
      <rPr>
        <sz val="11"/>
        <color theme="1"/>
        <rFont val="Calibri"/>
        <family val="2"/>
        <scheme val="minor"/>
      </rPr>
      <t xml:space="preserve">) in normal weight snake case font with red border color </t>
    </r>
    <r>
      <rPr>
        <b/>
        <sz val="11"/>
        <color theme="1"/>
        <rFont val="Calibri"/>
        <family val="2"/>
        <scheme val="minor"/>
      </rPr>
      <t>#FEE2E2 (px-2 py-0.5 rounded text-red-700</t>
    </r>
    <r>
      <rPr>
        <sz val="11"/>
        <color theme="1"/>
        <rFont val="Calibri"/>
        <family val="2"/>
        <scheme val="minor"/>
      </rPr>
      <t xml:space="preserve">).
- For normal items, use standard neutral </t>
    </r>
    <r>
      <rPr>
        <b/>
        <sz val="11"/>
        <color theme="1"/>
        <rFont val="Calibri"/>
        <family val="2"/>
        <scheme val="minor"/>
      </rPr>
      <t>styling (bg-white border-gray-100</t>
    </r>
    <r>
      <rPr>
        <sz val="11"/>
        <color theme="1"/>
        <rFont val="Calibri"/>
        <family val="2"/>
        <scheme val="minor"/>
      </rPr>
      <t xml:space="preserve">).
c. For </t>
    </r>
    <r>
      <rPr>
        <b/>
        <sz val="11"/>
        <color theme="1"/>
        <rFont val="Calibri"/>
        <family val="2"/>
        <scheme val="minor"/>
      </rPr>
      <t xml:space="preserve">Upcoming </t>
    </r>
    <r>
      <rPr>
        <sz val="11"/>
        <color theme="1"/>
        <rFont val="Calibri"/>
        <family val="2"/>
        <scheme val="minor"/>
      </rPr>
      <t xml:space="preserve">and </t>
    </r>
    <r>
      <rPr>
        <b/>
        <sz val="11"/>
        <color theme="1"/>
        <rFont val="Calibri"/>
        <family val="2"/>
        <scheme val="minor"/>
      </rPr>
      <t>Due</t>
    </r>
    <r>
      <rPr>
        <sz val="11"/>
        <color theme="1"/>
        <rFont val="Calibri"/>
        <family val="2"/>
        <scheme val="minor"/>
      </rPr>
      <t xml:space="preserve"> cards: Render a text pill badge following wireframe: "in </t>
    </r>
    <r>
      <rPr>
        <b/>
        <sz val="11"/>
        <color theme="1"/>
        <rFont val="Calibri"/>
        <family val="2"/>
        <scheme val="minor"/>
      </rPr>
      <t>No. of days/months</t>
    </r>
    <r>
      <rPr>
        <sz val="11"/>
        <color theme="1"/>
        <rFont val="Calibri"/>
        <family val="2"/>
        <scheme val="minor"/>
      </rPr>
      <t xml:space="preserve">". Text and pill border in brand primary color, no fill.
5. </t>
    </r>
    <r>
      <rPr>
        <b/>
        <sz val="11"/>
        <color theme="1"/>
        <rFont val="Calibri"/>
        <family val="2"/>
        <scheme val="minor"/>
      </rPr>
      <t>Tap Handler</t>
    </r>
    <r>
      <rPr>
        <sz val="11"/>
        <color theme="1"/>
        <rFont val="Calibri"/>
        <family val="2"/>
        <scheme val="minor"/>
      </rPr>
      <t xml:space="preserve">: Trigger </t>
    </r>
    <r>
      <rPr>
        <b/>
        <sz val="11"/>
        <color theme="1"/>
        <rFont val="Calibri"/>
        <family val="2"/>
        <scheme val="minor"/>
      </rPr>
      <t>onPress(item)</t>
    </r>
    <r>
      <rPr>
        <sz val="11"/>
        <color theme="1"/>
        <rFont val="Calibri"/>
        <family val="2"/>
        <scheme val="minor"/>
      </rPr>
      <t xml:space="preserve"> when pressed (to open decision modal in FE-1.6).</t>
    </r>
  </si>
  <si>
    <r>
      <rPr>
        <b/>
        <sz val="11"/>
        <color theme="1"/>
        <rFont val="Calibri"/>
        <family val="2"/>
        <scheme val="minor"/>
      </rPr>
      <t>Define Time-Bucketed Screening Overview TypeScript Interfaces, Validation &amp; Sorting Constants</t>
    </r>
    <r>
      <rPr>
        <sz val="11"/>
        <color theme="1"/>
        <rFont val="Calibri"/>
        <family val="2"/>
        <scheme val="minor"/>
      </rPr>
      <t xml:space="preserve">
Description:
Establish the core API contract and data types required to serve the "Your Health Overview" dashboard (Epic 1) while ensuring compatibility with the new Specific Conditions architecture (Epic 18).
Acceptance Criteria:
TypeScript Interfaces: Modify checkupp-api/src/modules/screenings/screening.constants.ts to define and export the canonical type definitions for time-bucketed overview responses.
Add the isSpecific flag to help the frontend render the custom condition UI badge.
TypeScript
export interface ScreeningOverviewItem {
  id: string; // The ID of the ScreeningDueItem
  name: string; // Mapped from either definition.name or specificCondition.conditionName
  date: string; // ISO-8601 date string (dueDate or lastCompletedDate)
  screeningType: 'cancer' | 'health' | 'immunization' | 'specific';
  status: 'PENDING' | 'COMPLETED' | 'OVERDUE'; 
  isOverdue: boolean;
  isSpecific: boolean; // TRUE if this relies on specificConditionId
}
export interface ScreeningOverviewResponse {
  counts: {
    upcoming: number;
    due: number;
    completed: number;
  };
  upcoming: ScreeningOverviewItem[];
  due: ScreeningOverviewItem[];
  completed: ScreeningOverviewItem[];
}
Joi Validation: In checkupp-api/src/modules/screenings/screening.validation.ts, define the request schema validation for the overview route. It must explicitly require zero query parameters and rely strictly on the authenticated JWT user context (req.user.id) to fetch data.</t>
    </r>
  </si>
  <si>
    <r>
      <t xml:space="preserve">Implement </t>
    </r>
    <r>
      <rPr>
        <b/>
        <sz val="11"/>
        <color theme="1"/>
        <rFont val="Calibri"/>
        <family val="2"/>
        <scheme val="minor"/>
      </rPr>
      <t>GET /me/screenings/overview</t>
    </r>
    <r>
      <rPr>
        <sz val="11"/>
        <color theme="1"/>
        <rFont val="Calibri"/>
        <family val="2"/>
        <scheme val="minor"/>
      </rPr>
      <t xml:space="preserve"> Time-Bucketed Aggregation &amp; Chronological Sorting Endpoint
Description:
Build the core data-fetching and sorting engine that powers the three top tabs (Upcoming, Due, Completed) on the "Your Health Overview" screen.
Acceptance Criteria:
Files to Modify: screening.service.ts, screening.controller.ts, screening.routes.ts.
Database Querying:
In screening.service.ts, implement getScreeningOverview(userId: string): Promise&lt;ScreeningOverviewResponse&gt;.
Query prisma.screeningDueItem.findMany filtered strictly by userId.
Crucial: Include polymorphic relations so the mapper can extract the correct name: include: { definition: true, specificCondition: true }.
Date Bucketing Rules:
Calculate exact calendar days: daysUntilDue = Math.floor((dueDate.getTime() - Date.now()) / (1000 * 60 * 60 * 24)).
Upcoming: Items with non-completed status where 0 &lt;= daysUntilDue &lt;= 90.
Due: Items with non-completed status where daysUntilDue &gt; 90 OR daysUntilDue &lt; 0. If daysUntilDue &lt; 0, flag isOverdue = true and override status to 'OVERDUE'.
Completed: Items where status === 'COMPLETED'. Map the date property to lastCompletedDate.
Chronological Sorting Engine:
Sort upcoming array chronologically ascending by date (earliest upcoming screening at top).
Sort due array with Overdue items pinned to the top (sorted by most overdue first: smallest/most negative daysUntilDue ascending), followed by standard due items sorted chronologically ascending by date.
Sort completed array chronologically descending by completion date (most recently completed at top).
Response Payload: Return { counts: { upcoming: upcoming.length, due: due.length, completed: completed.length }, upcoming, due, completed }.
Route Binding: Register router.get('/overview', authMiddleware, getOverviewHandler) in screening.routes.ts.</t>
    </r>
  </si>
  <si>
    <r>
      <rPr>
        <b/>
        <sz val="11"/>
        <color theme="1"/>
        <rFont val="Calibri"/>
        <family val="2"/>
        <scheme val="minor"/>
      </rPr>
      <t>Implement Background Cycle Recalculation Service &amp; Schedule Auto-Transition Logic</t>
    </r>
    <r>
      <rPr>
        <sz val="11"/>
        <color theme="1"/>
        <rFont val="Calibri"/>
        <family val="2"/>
        <scheme val="minor"/>
      </rPr>
      <t xml:space="preserve">
Description:
Ensure that when a user logs a result, the current due item is marked complete, and the next future due item is dynamically calculated and scheduled based on the clinical (or user-defined) frequency.
Acceptance Criteria:
Files to Modify: screening.service.ts, screening.controller.ts.
Auto-Transition Hook: Inside the existing saveScreeningRecord(userId, screeningId, recordPayload) logic, immediately update the active ScreeningDueItem to status: 'COMPLETED' and set its lastCompletedDate to recordPayload.checkDate.
Next Cycle Calculation Engine:
Build logic to calculate the nextDueDate depending on the item type.
If Standard Screening: Fetch canonical interval from ScreeningDefinition (or ScreeningPlan override). Use date-fns addMonths(recordPayload.checkDate, intervalMonths).
If Specific Condition: Fetch specificInterval and specificUnit from SpecificCondition. Use dynamic date-fns addition based on the unit (e.g., if Unit is 'Days', use addDays; if 'Years', use addYears).
Create a new ScreeningDueItem in the database for the userId with the calculated nextDueDate and status: 'PENDING'.
Immediate Schedule Reflection: Ensure any subsequent call to GET /me/screenings/overview flawlessly places the newly completed item under the "Completed" tab and the newly generated next-cycle item under "Upcoming" or "Due".</t>
    </r>
  </si>
  <si>
    <r>
      <t xml:space="preserve">Define Prisma Schema, Interfaces &amp; Joi Validation for </t>
    </r>
    <r>
      <rPr>
        <b/>
        <sz val="11"/>
        <color theme="1"/>
        <rFont val="Calibri"/>
        <family val="2"/>
        <scheme val="minor"/>
      </rPr>
      <t>Specific Conditions</t>
    </r>
    <r>
      <rPr>
        <sz val="11"/>
        <color theme="1"/>
        <rFont val="Calibri"/>
        <family val="2"/>
        <scheme val="minor"/>
      </rPr>
      <t xml:space="preserve">
Description:
Set up the foundational database schema, TypeScript DTOs, and request validation for the "Specific Conditions" feature, ensuring strict tenant isolation and integration with the existing "Your Health Overview" dashboard engine.
Schema:
model UserSpecificCondition {
  id                    String                        @id @default(uuid())
  userId                String
  user                  User                          @relation(fields: [userId], references: [id], onDelete: Cascade)
  // Directly maps to the 4 frontend inputs
  conditionName         String
  monitoringType        String                        // "Blood test", "Imaging/ Radiology", "Doctor Review", "Endoscopy", "Other: [custom]"
  frequencyType         String                        // "Monthly", "Every 3 Months", "Every 6 Months", "Annually", "Custom"
  customMonitoringType  Int?                          // Numeric stepper value (only populated if frequencyType == "Custom")
  customFrequencyType   String?                       // "Days", "Months", "Years" (only populated if frequencyType == "Custom")
  careProvider          String
  createdAt             DateTime                      @default(now())
  updatedAt             DateTime                      @updatedAt
  records               UserSpecificConditionRecord[]
  dueItems              ScreeningDueItem[]            // Powers the "Your Health Overview" dashboard
  @@index([userId])
}
model UserSpecificConditionRecord {
  id                        String                @id @default(uuid())
  userSpecificConditionId   String
  userSpecificCondition     UserSpecificCondition @relation(fields: [userSpecificConditionId], references: [id], onDelete: Cascade)
  userId                    String
  user                      User                  @relation(fields: [userId], references: [id], onDelete: Cascade)
  // Directly maps to Screen 5 inputs
  checkDate                 DateTime
  outcomeNotes              String?
  createdAt                 DateTime              @default(now())
  updatedAt                 DateTime              @updatedAt
  @@index([userSpecificConditionId])
  @@index([userId])
}
// Ensure this is added to the existing ScreeningDueItem model:
model ScreeningDueItem {
  // ... existing fields ...
  userSpecificConditionId   String?
  userSpecificCondition     UserSpecificCondition? @relation(fields: [userSpecificConditionId], references: [id], onDelete: Cascade)
}
Technical Tasks:
Modify prisma/schema.prisma:
Create UserSpecificCondition model with fields: id, userId, conditionName, monitoringType, frequencyType, customMonitoringType (Int?), customFrequencyType (String?), careProvider, createdAt, updatedAt.
Create UserSpecificConditionRecord model with fields: id, userSpecificConditionId, userId, checkDate, outcomeNotes, createdAt, updatedAt. (No attachments for V1).
Crucial: Add userSpecificConditionId (String?) and the relation to the existing ScreeningDueItem model so custom conditions appear on the main dashboard.
Update screening.constants.ts:
Export the matching TypeScript interfaces (CreateSpecificConditionInput, etc.) so the frontend has a strict type contract.
Update screening.validation.ts:
Define createUserSpecificConditionSchema (Joi validation):
conditionName, monitoringType, careProvider: required strings.
frequencyType: required enum (Monthly, Every 3 Months, Every 6 Months, Annually, Custom).
customMonitoringType: positive integer (required if frequencyType is 'Custom').
customFrequencyType: enum (Days, Months, Years) (required if frequencyType is 'Custom').
nextDueDate: required ISO-8601 date string.</t>
    </r>
  </si>
  <si>
    <r>
      <t xml:space="preserve">Implement </t>
    </r>
    <r>
      <rPr>
        <b/>
        <sz val="11"/>
        <color theme="1"/>
        <rFont val="Calibri"/>
        <family val="2"/>
        <scheme val="minor"/>
      </rPr>
      <t>POST</t>
    </r>
    <r>
      <rPr>
        <sz val="11"/>
        <color theme="1"/>
        <rFont val="Calibri"/>
        <family val="2"/>
        <scheme val="minor"/>
      </rPr>
      <t xml:space="preserve"> &amp; </t>
    </r>
    <r>
      <rPr>
        <b/>
        <sz val="11"/>
        <color theme="1"/>
        <rFont val="Calibri"/>
        <family val="2"/>
        <scheme val="minor"/>
      </rPr>
      <t>GET</t>
    </r>
    <r>
      <rPr>
        <sz val="11"/>
        <color theme="1"/>
        <rFont val="Calibri"/>
        <family val="2"/>
        <scheme val="minor"/>
      </rPr>
      <t xml:space="preserve"> Endpoints for </t>
    </r>
    <r>
      <rPr>
        <b/>
        <sz val="11"/>
        <color theme="1"/>
        <rFont val="Calibri"/>
        <family val="2"/>
        <scheme val="minor"/>
      </rPr>
      <t>Specific Conditions</t>
    </r>
    <r>
      <rPr>
        <sz val="11"/>
        <color theme="1"/>
        <rFont val="Calibri"/>
        <family val="2"/>
        <scheme val="minor"/>
      </rPr>
      <t xml:space="preserve">
Description:
Create the dedicated CRUD endpoints that allow a user to add a new specific condition to their profile and fetch their existing list.
Technical Tasks:
Service Implementation (screening.service.ts):
Implement createUserSpecificCondition: Must wrap the creation in a prisma.$transaction. After creating the UserSpecificCondition, it must instantly create a ScreeningDueItem using the provided nextDueDate and calculated intervalMonths so it immediately appears on the user's Health Overview.
Implement listUserSpecificConditions: Fetch all conditions for the authenticated userId. Use Prisma include to fetch the most recent associated record (records: { orderBy: { checkDate: 'desc' }, take: 1 }) to supply the "Last Checked" state to the UI.
Controller &amp; Router (screening.controller.ts &amp; screening.routes.ts):
Expose POST /me/screenings/specific-conditions (wrapped in Auth &amp; Joi validation).
Expose GET /me/screenings/specific-conditions (wrapped in Auth).
Audit Logging:
Trigger an immutable audit event (screenings.specific_condition.create) via audit.service.ts upon successful creation.</t>
    </r>
  </si>
  <si>
    <r>
      <rPr>
        <b/>
        <sz val="11"/>
        <color theme="1"/>
        <rFont val="Calibri"/>
        <family val="2"/>
        <scheme val="minor"/>
      </rPr>
      <t xml:space="preserve">Integrate Specific Conditions into the Central Record Logging Engine
</t>
    </r>
    <r>
      <rPr>
        <sz val="11"/>
        <color theme="1"/>
        <rFont val="Calibri"/>
        <family val="2"/>
        <scheme val="minor"/>
      </rPr>
      <t xml:space="preserve">Description:
Instead of creating a redundant, separate endpoint for logging custom outcomes, upgrade the </t>
    </r>
    <r>
      <rPr>
        <b/>
        <sz val="11"/>
        <color theme="1"/>
        <rFont val="Calibri"/>
        <family val="2"/>
        <scheme val="minor"/>
      </rPr>
      <t>existing POST /me/screenings/records</t>
    </r>
    <r>
      <rPr>
        <sz val="11"/>
        <color theme="1"/>
        <rFont val="Calibri"/>
        <family val="2"/>
        <scheme val="minor"/>
      </rPr>
      <t xml:space="preserve"> endpoint to intelligently handle Specific Conditions, keeping the mobile API calls unified.
Technical Tasks:
Modify createScreeningRecord inside screening.service.ts:
Update the lookup logic to check if the incoming screeningDueItemId belongs to a UserSpecificCondition.
If it does, route the data to create a UserSpecificConditionRecord (saving the checkDate and outcomeNotes).
Complete the current ScreeningDueItem.
Build the Specific Condition Auto-Advancement Engine:
Calculate the nextDueDate based on the condition's frequency settings.
If frequencyType is a standard dropdown (Monthly, Annually, etc.), add the exact months.
If frequencyType is "Custom", run a switch statement on customFrequencyType to add accurate Days, Months, or Years based on the customMonitoringType stepper value.
Generate the next ScreeningDueItem with the newly calculated date to ensure the recurrent loop continues on the dashboard.</t>
    </r>
  </si>
  <si>
    <t>Done</t>
  </si>
  <si>
    <t>ToDo</t>
  </si>
  <si>
    <t>Cardiovascular Reading</t>
  </si>
  <si>
    <t>Cardiovascular Camera Scanner UI &amp; Permission Handling</t>
  </si>
  <si>
    <t>OCR Processing, Frame Processor &amp; Form Auto-Fill</t>
  </si>
  <si>
    <t>Diabetes Test</t>
  </si>
  <si>
    <t>Single-Number OCR, Contextual Selection &amp; Auto-Fill</t>
  </si>
  <si>
    <t>Contrast Pre-Processing, Regex Extraction &amp; Auto-Fill</t>
  </si>
  <si>
    <t>Live-scan digital blood pressure monitor</t>
  </si>
  <si>
    <t>Live-scan digital glucometer</t>
  </si>
  <si>
    <t>Live-scan digital weighing scale</t>
  </si>
  <si>
    <t>Shared Scanner</t>
  </si>
  <si>
    <t>Shared camera scanning</t>
  </si>
  <si>
    <t>Shared measurement reliability</t>
  </si>
  <si>
    <t>6.1, 6.3, 7.1, 7.4</t>
  </si>
  <si>
    <t>6.1, 6.3, 7.4</t>
  </si>
  <si>
    <t>6.2, 6.3, 6.4, 6.5, 6.6, 7.2, 7.3, 7.4, 7.5</t>
  </si>
  <si>
    <t>6.3, 6.6, 7.5</t>
  </si>
  <si>
    <r>
      <t xml:space="preserve">Refactor FileCard component to implement 3-Dot (Kebab) Action Menu &amp; Share Button
</t>
    </r>
    <r>
      <rPr>
        <sz val="11"/>
        <color theme="1"/>
        <rFont val="Calibri"/>
        <family val="2"/>
        <scheme val="minor"/>
      </rPr>
      <t>Target Files:Modify: checkupp-mobile/app/(tabs)/wallet.tsx (Inside the FileCard declaration)  
Ambiguity-Free Technical Specification:
Refactor the FileCard component. The outermost wrapper must be a View (not TouchableOpacity) to prevent touch-target conflicts.
In the "Actions" flex row, render a prominent primary TouchableOpacity for "Share" (e.g., green styling).Render a secondary TouchableOpacity for the kebab menu (MaterialCommunityIcons name="dots-vertical").
Implement handleMoreOptions using React Native's Alert.alert. If item.fileType === 'link', show options: [Open, Delete, Cancel]. If it is a document/image, show: [View, Download, Delete, Cancel]. Wire these to the respective prop callbacks (onView, onDelete, onDownload).</t>
    </r>
  </si>
  <si>
    <t>Document Wallet</t>
  </si>
  <si>
    <t>6.2, 7.3</t>
  </si>
  <si>
    <r>
      <t xml:space="preserve">Implement secure local download &amp; save to device logic
</t>
    </r>
    <r>
      <rPr>
        <sz val="11"/>
        <color theme="1"/>
        <rFont val="Calibri"/>
        <family val="2"/>
        <scheme val="minor"/>
      </rPr>
      <t>Target Files:Create: checkupp-mobile/hooks/useDocumentDownload.ts
Ambiguity-Free Technical Specification:
Create a hook returning { downloadItem, isDownloading }.
Utilize FileSystem.downloadAsync to pull the file to FileSystem.documentDirectory (iOS) or a public folder via Android intents.For images, leverage expo-media-library to save directly to the camera roll (MediaLibrary.saveToLibraryAsync).  Fire success toasts ("Download complete") or error toasts ("Download failed, please try again").</t>
    </r>
  </si>
  <si>
    <t>6.4, 7.2, 7.4</t>
  </si>
  <si>
    <t>19.3,  20.3,  20.4</t>
  </si>
  <si>
    <t>19.3, 20.3, 20.4</t>
  </si>
  <si>
    <r>
      <t xml:space="preserve">TDD - </t>
    </r>
    <r>
      <rPr>
        <b/>
        <sz val="11"/>
        <color theme="1"/>
        <rFont val="Calibri"/>
        <family val="2"/>
        <scheme val="minor"/>
      </rPr>
      <t>Automated Jest test suite for Firebase Storage upload/delete &amp; Link creation</t>
    </r>
    <r>
      <rPr>
        <sz val="11"/>
        <color theme="1"/>
        <rFont val="Calibri"/>
        <family val="2"/>
        <scheme val="minor"/>
      </rPr>
      <t xml:space="preserve">
Target Files:Create: checkupp-api/tests/modules/wallet/wallet.test.ts
Ambiguity-Free Technical Specification:
Initialize a Jest test suite using supertest against the Express app. Mock the Firebase Admin Storage bucket module and ensure the mocked bucket targets an Australian region configuration (australia-southeast1).
Test Case 1 (US 6.1): Mock a file buffer upload to PUT /me/wallet/uploads/pending. Assert that the mocked Firebase bucket upload function is called and a 201 response is returned with the cloud URL.
Test Case 2 (US 7.1): POST to /me/wallet/links with a valid e-script URL. Assert a 201 response and verify the database record contains fileType: LINK and the proper external URL 
Test Case 3 (US 6.3, 7.4): DELETE /me/wallet/documents/:id. Assert that the database record is removed and an immutable AuditLog entry is written. For physical documents, assert that the mocked Firebase bucket delete method is invoked.</t>
    </r>
  </si>
  <si>
    <r>
      <t xml:space="preserve">Refactor wallet.service.ts to stream uploads to Australian Firebase Storage bucket with Audit Logging
</t>
    </r>
    <r>
      <rPr>
        <sz val="11"/>
        <color theme="1"/>
        <rFont val="Calibri"/>
        <family val="2"/>
        <scheme val="minor"/>
      </rPr>
      <t>Target Files:Modify: checkupp-api/src/modules/wallet/wallet.service.ts
Ambiguity-Free Technical Specification:
Remove Local Disk Storage: Remove the local fs.writeFile and fs.unlink implementation inside uploadPendingFile and cleanupUploadedFile.
 Firebase Storage Initialization: Initialize firebase-admin/storage pointing explicitly to the Australian storage bucket region (e.g., process.env.FIREBASE_STORAGE_BUCKET initialized in australia-southeast1).
Upload Logic (US 6.1): In uploadPendingFile, stream the incoming fileBuffer directly into the Firebase Storage bucket with the correct mimeType and AES-256 encryption at rest. Return the secure public cloud URL.
Delete Logic (US 6.3, 7.4): In cleanupUploadedFile, call bucket.file(objectKey).delete() to physically wipe the file from the cloud bucket when the database record is deleted. Catch and suppress 404 errors if the file is already missing.
Audit Middleware Compliance: Ensure all uploads and deletions continue to pass through the controller-level tryCreateAuditLog wrapper to maintain immutable tracking.</t>
    </r>
  </si>
  <si>
    <r>
      <rPr>
        <b/>
        <sz val="11"/>
        <color theme="1"/>
        <rFont val="Calibri"/>
        <family val="2"/>
        <scheme val="minor"/>
      </rPr>
      <t>Implement useDocumentShare Hook for cross-platform native app sharing</t>
    </r>
    <r>
      <rPr>
        <sz val="11"/>
        <color theme="1"/>
        <rFont val="Calibri"/>
        <family val="2"/>
        <scheme val="minor"/>
      </rPr>
      <t xml:space="preserve">
Target Files:
Create: checkupp-mobile/hooks/useDocumentShare.ts
Ambiguity-Free Technical Specification:
Create a custom React hook returning { shareItem, isSharing }.
e-Script/Link Logic (US 7.3): If item.fileType === "link", immediately invoke React Native's Share.share({ message: ... ${item.file}, url: item.file }).
Document Logic (US 6.2): If item.fileType is image/file, invoke expo-file-system downloadAsync to temporarily cache the remote cloud URL locally to FileSystem.cacheDirectory. Pass the local URI to Sharing.shareAsync().
Implement error handling with a toast notification: showToast("Something went wrong, please try again", "error").</t>
    </r>
  </si>
  <si>
    <r>
      <rPr>
        <b/>
        <sz val="11"/>
        <color theme="1"/>
        <rFont val="Calibri"/>
        <family val="2"/>
        <scheme val="minor"/>
      </rPr>
      <t>Integrate Viewer Modals, Browser linking, and Delete Confirmation flows</t>
    </r>
    <r>
      <rPr>
        <sz val="11"/>
        <color theme="1"/>
        <rFont val="Calibri"/>
        <family val="2"/>
        <scheme val="minor"/>
      </rPr>
      <t xml:space="preserve">
Target Files: Modify: checkupp-mobile/app/(tabs)/wallet.tsx
Ambiguity-Free Technical Specification:
Wire the onView callback from the 3-dot menu. If the item is an image, set state to open the existing ImageViewer. If it is a PDF/Document, open the DocumentViewer. If it is an e-script link, invoke WebBrowser.openBrowserAsync().
Wire the onDelete callback. It must trigger Alert.alert("Are you sure you want to delete this file?") before calling deleteDocument.mutateAsync(id).
Ensure the UI updates to deleted card or triggers a refetch upon successful deletion.</t>
    </r>
  </si>
  <si>
    <r>
      <t>Frontend TDD Suite: UI, Sharing &amp; Caching</t>
    </r>
    <r>
      <rPr>
        <sz val="11"/>
        <color theme="1"/>
        <rFont val="Calibri"/>
        <family val="2"/>
        <scheme val="minor"/>
      </rPr>
      <t xml:space="preserve">
US 6.6 &amp; 7.5: Decluttered Card Layout (checkupp-mobile/tests/DocumentWallet/FileCard.test.tsx)
Success: Render the FileCard component. Assert that explicit standalone "View", "Download", and "Delete" text/buttons are completely absent from the DOM.
Success: Assert that the primary "Share" icon and the secondary "3-dot" kebab menu icon are rendered correctly on the card.
US 6.3, 6.5 &amp; 7.4: 3-Dot Action Menu (Alert/ActionSheet) (checkupp-mobile/tests/DocumentWallet/FileCard.test.tsx)
Success (Document): Simulate a press on the 3-dot menu for a document payload. Assert Alert.alert triggers with exactly four options: "View", "Download", "Delete", and "Cancel".
Success (Link): Simulate a press on the 3-dot menu for an e-script payload. Assert Alert.alert triggers with exactly three options: "Open", "Delete", and "Cancel".
Edge Case (Delete Cancellation): Trigger the "Delete" option, then press "Cancel" on the subsequent confirmation prompt. Assert the deleteDocument mutation is never fired.
US 6.2 &amp; 7.3: Cross-Platform Native Sharing (checkupp-mobile/tests/hooks/useDocumentShare.test.ts)
Success (Link): Simulate a press on the "Share" button for an e-script. Assert React Native's Share.share is invoked immediately with the text/URL payload.
Success (Document): Simulate a press on the "Share" button for a document. Assert a loading spinner renders. Assert FileSystem.downloadAsync is called with the remote Firebase URL. Assert Sharing.shareAsync is subsequently called with the resulting local URI.
Edge Case (Unsupported Device): Force the mocked Sharing.isAvailableAsync() to return false. Assert a Toast is displayed notifying the user that sharing is unavailable.
US 6.5: Download Document (checkupp-mobile/tests/hooks/useDocumentDownload.test.ts)
Success: Verify that pressing the Download button invokes FileSystem.downloadAsync to permanently save the file to local device storage.
Edge Case (Network Drop): Simulate a failure during FileSystem.downloadAsync. Assert the loading spinner reverts to the share icon and the "Something went wrong, please try again" error toast fires.
US 6.4 &amp; 7.2: Viewer Integrations (checkupp-mobile/tests/DocumentWallet/FileCard.test.tsx)
Success (Image): Simulate selecting "View" on an image document. Assert the ImageViewer modal becomes visible.
Success (PDF): Simulate selecting "View" on a PDF document. Assert the DocumentViewer modal becomes visible.
Success (Link): Simulate selecting "Open" on an e-script link. Assert WebBrowser.openBrowserAsync is called with the specific URL.</t>
    </r>
  </si>
  <si>
    <r>
      <t xml:space="preserve">Backend TDD Suite: Firebase Storage &amp; Links
</t>
    </r>
    <r>
      <rPr>
        <sz val="11"/>
        <color theme="1"/>
        <rFont val="Calibri"/>
        <family val="2"/>
        <scheme val="minor"/>
      </rPr>
      <t>Setup &amp; Teardown: (checkupp-api/tests/modules/wallet/wallet.test.ts)
Initialize the Jest test suite using supertest against the Express server.
Mock the firebase-admin/storage module to intercept bucket uploads and deletes.
Implement ruthless beforeEach and afterAll database purges to guarantee deterministic test runs.
US 6.1: Document Upload (Firebase Stream)
Success: Send a valid file buffer payload to POST /me/wallet/documents. Assert a 201 Created response. Assert the mocked Firebase bucket upload function is invoked and the database record correctly saves the fileType: FILE and public cloud URL.  
Edge Case (Missing Fields): Send a payload missing documentType. Assert the Joi gateway validation blocks it and returns a 400 Bad Request.  
Edge Case (Cloud Failure): Force the mocked Firebase upload to throw an error. Assert the API returns a graceful 500 without creating an orphaned database record.
US 7.1: e-Script Link Creation
Success: POST /me/wallet/links with a valid URL and title. Assert a 201 Created response and verify the database record saves fileType: LINK.  
Edge Case (Whitespace Validation): Send a URL containing only blank spaces. Assert Joi's .trim().min(1) intercepts the request and throws a 400 Bad Request.  
US 6.3 &amp; 7.4: Deletion &amp; Tenant Isolation
Success (Document): DELETE /me/wallet/documents/:id. Assert a 200 OK response. Assert the mocked Firebase bucket delete() method is called and the database record is removed.
Success (Link): DELETE /me/wallet/documents/:id (targeting a link). Assert the database record is removed but the Firebase bucket delete() method is not called.
Edge Case (Tenant Isolation): Attempt to delete a document ID using a different user's mocked JWT token. Assert a 404 Not Found to guarantee multi-tenant security scoping.
Audit Logging (All Modifications)
Success: Following a successful creation or deletion, query the test database to assert an immutable AuditLog row was created with the correct actorId, action, and timestamp.</t>
    </r>
  </si>
  <si>
    <t>19.3, 20.3, 20.5</t>
  </si>
  <si>
    <t>19.3, 20.3, 20.6</t>
  </si>
  <si>
    <r>
      <rPr>
        <b/>
        <sz val="11"/>
        <color theme="1"/>
        <rFont val="Calibri"/>
        <family val="2"/>
        <scheme val="minor"/>
      </rPr>
      <t>Implement Contextual Reading-Type Modal and Manual Fallback UI with Jest TDD</t>
    </r>
    <r>
      <rPr>
        <sz val="11"/>
        <color theme="1"/>
        <rFont val="Calibri"/>
        <family val="2"/>
        <scheme val="minor"/>
      </rPr>
      <t xml:space="preserve">
Target Files:
checkupp-mobile/components/modals/ReadingTypeModal.tsx
checkupp-mobile/components/camera/ScanMonitorModal.tsx
checkupp-mobile/components/screening/CardiovascularHealth.tsx
checkupp-mobile/components/screening/DiabetesCheck.tsx
checkupp-mobile/test/DiabetesTest/scan-glucometer-modal.test.ts
checkupp-mobile/test/Scanner/scan-fallback-ui.test.ts
checkupp-mobile/test/DiabetesTest/save-reading-commit.test.ts
Description:
1. After a successful glucose scan, render a native bottom-sheet modal asking "What type of reading is this?" with three options: Fasting Glucose, Random Glucose, Post-Meal Glucose.
2. Verify each modal option, when tapped, routes the scanned numeric value into the correct corresponding form field and closes the modal.
3. Verify the modal does not appear for Blood Pressure or Weight scans (negative test — confirms no cross-contamination of the modal pattern into flows that shouldn't have it, per US 20.4 AC #3).
4. Verify a persistent "Cancel / Enter Manually" button is present and tappable on the camera scan screen at all times — immediately on open, mid-scan, and independent of timeout state (not just after a timeout fires).
5. Verify that upon successful multi-frame lock and auto-fill, a toast/banner renders with the exact text "Numbers scanned successfully. Please verify against your device." for the Cardiovascular (BP) flow.
6. Add Jest tests for: modal-option-to-field routing (all 3 branches), modal absence on BP/Weight flows, fallback button visibility across scan lifecycle states (open/scanning/timeout/error), exact toast copy assertion, save-commit success path, and save-blocked-on-empty-fields path.
Acceptance Criteria Covered: US 19.3 – Human-in-the-Loop Validation (toast), Fallback (manual entry); US 20.3 – Contextual UI Modal, Auto-Fill Execution, Validation (Save Reading commit); US 20.4 – Auto-Fill Execution (negative: no modal)"</t>
    </r>
  </si>
  <si>
    <r>
      <rPr>
        <b/>
        <sz val="11"/>
        <color theme="1"/>
        <rFont val="Calibri"/>
        <family val="2"/>
        <scheme val="minor"/>
      </rPr>
      <t xml:space="preserve">Implement Scan Trigger Buttons in Cardiovascular and Diabetes Forms with Jest TDD
</t>
    </r>
    <r>
      <rPr>
        <sz val="11"/>
        <color theme="1"/>
        <rFont val="Calibri"/>
        <family val="2"/>
        <scheme val="minor"/>
      </rPr>
      <t xml:space="preserve">
Target Files:
checkupp-mobile/components/screening/CardiovascularHealth.tsx
checkupp-mobile/components/screening/DiabetesCheck.tsx
checkupp-mobile/test/CardiovascularReading/scan-trigger-button.test.ts
checkupp-mobile/test/DiabetesTest/scan-trigger-buttons.test.ts
Description:
Render a single "Scan Sphygmomanometer" (or "Scan Monitor") button in the Cardiovascular Health form, positioned next to/near the manual Blood Pressure input fields.
Render two distinct buttons in the Diabetes Test form: "Scan Glucometer" (near the Blood Glucose section) and "Scan Weighing Scale" (near the Weight input field).
Verify tapping "Scan Sphygmomanometer" opens the camera scan modal configured for the BP scanner flow (correct target bounding box copy, correct scanner module wired in).
Verify tapping "Scan Glucometer" opens the camera scan modal configured for the glucose scanner flow.
Verify tapping "Scan Weighing Scale" opens the camera scan modal configured for the weight scanner flow.
Verify each button is disabled or hidden appropriately if camera permission has been permanently denied (graceful degradation — falls back to manual entry only, per shared permission handling).
Verify each button has an accessible label/role matching its visible text (for screen-reader support).
Verify only one scan modal can be open at a time — tapping a second scan button while one modal is already open does not stack or duplicate modals.
Add Jest tests for: button presence/visibility per form, correct scanner-flow wiring per button tap, correct modal title/copy per flow, permission-denied disabled state, and accessibility label assertions.
Acceptance Criteria Covered: US 19.3 – Trigger (Scan Monitor icon/button visible); US 20.3 – Trigger (Scan Glucometer button visible); US 20.4 – Trigger (Scan Scale icon visible)</t>
    </r>
  </si>
  <si>
    <r>
      <rPr>
        <b/>
        <sz val="11"/>
        <color theme="1"/>
        <rFont val="Calibri"/>
        <family val="2"/>
        <scheme val="minor"/>
      </rPr>
      <t>Implement Shared Camera Performance, Permission, Timeout Handling &amp; Privacy with Jest TDD</t>
    </r>
    <r>
      <rPr>
        <sz val="11"/>
        <color theme="1"/>
        <rFont val="Calibri"/>
        <family val="2"/>
        <scheme val="minor"/>
      </rPr>
      <t xml:space="preserve">
Target Files:
• checkupp-mobile/lib/scanner/deviceScanner.ts
• checkupp-mobile/components/camera/ScanMonitorModal.tsx
• checkupp-mobile-main/test/scanner/scanner-edge-cases.test.ts
Description:
1. Reuse the existing native camera permission implementation.
2. Handle already-granted, requested, denied and revoked camera permissions gracefully.
3. Limit ML Kit frame processing to 15–30 FPS instead of processing every camera frame.
4. Start a 10-second timeout whenever a scanner opens.
5. Cancel the timeout after successful detection, cancellation or scanner closure.
6. Display the exact timeout message: "Having trouble reading the screen. Ensure there is no glare, or switch to manual entry."
7. Provide an easy exit/manual-entry action after timeout.
8. Add Jest fake-timer and mocked-permission tests.
9. Add Jest tests verifying that toggling the Torch/Flashlight UI control updates the native camera torch state property correctly.
10. Add a test assertion verifying that scanner execution operates 100% locally via on-device ML Kit with zero outbound HTTP/network requests initiated during the scan cycle.
Acceptance Criteria Covered: US 19.3 – Permissions, Performance, Timeout; US 20.3 – Timeout; US 20.4 – Timeout</t>
    </r>
  </si>
  <si>
    <r>
      <rPr>
        <b/>
        <sz val="11"/>
        <color theme="1"/>
        <rFont val="Calibri"/>
        <family val="2"/>
        <scheme val="minor"/>
      </rPr>
      <t>Implement Image Quality, Bounding-Box Filtering and Multi-Frame Stability with Jest TDD</t>
    </r>
    <r>
      <rPr>
        <sz val="11"/>
        <color theme="1"/>
        <rFont val="Calibri"/>
        <family val="2"/>
        <scheme val="minor"/>
      </rPr>
      <t xml:space="preserve">
Target Files:
• checkupp-mobile/lib/scanner/bloodPressureScanner.ts
• checkupp-mobile/lib/scanner/glucoseScanner.ts
• checkupp-mobile/lib/scanner/weightScanner.ts
• checkupp-mobile/test/cardiovascular/scan-monitor-image.test.ts
• checkupp-mobile/test/diabetes/scan-glucometer-image.test.ts
• checkupp-mobile/test/diabetes/scan-digital-scale-image.test.ts
Description:
1. Filter OCR results so only values inside the appropriate target bounding box are considered.
2. Ignore numbers outside the target region and unrelated OCR text.
3. Handle rotated OCR coordinates after normalization.
4. Reject unreadable values caused by severe glare, blur or obstruction when confidence is insufficient.
5. Implement multi-frame stability so a measurement must remain consistent before auto-fill.
6. Treat equivalent weight formats such as 68.7 and 68.70 as the same numeric value.
7. Reject fluctuating OCR results and insufficient frames.
8. Ensure failed or uncertain scans never overwrite manually entered values.
9. Add Jest tests for lighting, glare, blur, rotation, obstruction, target-box failures, unstable readings and false-positive protection.
Acceptance Criteria Covered: US 19.3 – Extraction Reliability; US 20.3 – Scan Reliability; US 20.4 – Lighting/Contrast and Extraction Reliability</t>
    </r>
  </si>
  <si>
    <r>
      <rPr>
        <b/>
        <sz val="11"/>
        <color theme="1"/>
        <rFont val="Calibri"/>
        <family val="2"/>
        <scheme val="minor"/>
      </rPr>
      <t>Implement Glucometer Single-Value OCR Extraction and Regex Validation with Jest TDD</t>
    </r>
    <r>
      <rPr>
        <sz val="11"/>
        <color theme="1"/>
        <rFont val="Calibri"/>
        <family val="2"/>
        <scheme val="minor"/>
      </rPr>
      <t xml:space="preserve">
Target Files:
• checkupp-mobile/lib/scanner/glucoseScanner.ts
• checkupp-mobile/test/DiabetesTest/scan-glucometer-image.test.ts
Description:
1. Reuse Google ML Kit Text Recognition to process the glucometer display.
2. Extract one glucose value using regex validation.
3. Support values such as 5, 5.6, 12 and 12.1.
4. Ignore unrelated date, time, memory and unit values.
5. Select the primary LCD value when multiple numeric OCR results are present.
6. Reject malformed values, multiple decimal points, negative values, alphabetic text and empty OCR results.
7. Add Jest tests covering normal, dark, glare, blur, multiple-number and invalid-value scenarios.
Acceptance Criteria Covered: US 20.3 – Extraction Logic (Regex) and scan accuracy</t>
    </r>
  </si>
  <si>
    <r>
      <rPr>
        <b/>
        <sz val="11"/>
        <color theme="1"/>
        <rFont val="Calibri"/>
        <family val="2"/>
        <scheme val="minor"/>
      </rPr>
      <t>Implement Blood Pressure OCR Extraction and Y-Coordinate Mapping with Jest TDD</t>
    </r>
    <r>
      <rPr>
        <sz val="11"/>
        <color theme="1"/>
        <rFont val="Calibri"/>
        <family val="2"/>
        <scheme val="minor"/>
      </rPr>
      <t xml:space="preserve">
Target Files:
• checkupp-mobile/lib/scanner/bloodPressureScanner.ts
• checkupp-mobile/test/CardiovascularReading/scan-monitor-image.test.ts
Description:
1. Reuse the existing Google ML Kit Text Recognition integration.
2. Extract three valid numeric values from the BP monitor OCR response.
3. Sort OCR candidates using their vertical bounding-box position and map them to Systolic, Diastolic and Heart Rate according to the agreed screen-coordinate convention.
4. Ignore unrelated values such as date, time, memory number and unit labels.
5. Ensure shuffled ML Kit OCR results produce the same final BP values.
6. Return null when one or more required readings cannot be reliably identified.
7. Add Jest tests for normal, shuffled, incomplete, irrelevant and malformed OCR results.
Acceptance Criteria Covered: US 19.3 – Extraction Logic (Y-Coordinate Sorting)</t>
    </r>
  </si>
  <si>
    <r>
      <rPr>
        <b/>
        <sz val="11"/>
        <color theme="1"/>
        <rFont val="Calibri"/>
        <family val="2"/>
        <scheme val="minor"/>
      </rPr>
      <t>Implement Digital Weighing Scale LCD OCR and Weight Validation with Jest TDD</t>
    </r>
    <r>
      <rPr>
        <sz val="11"/>
        <color theme="1"/>
        <rFont val="Calibri"/>
        <family val="2"/>
        <scheme val="minor"/>
      </rPr>
      <t xml:space="preserve">
Target Files:
• checkupp-mobile/lib/scanner/weightScanner.ts
• checkupp-mobile/test/DiabetesTest/scan-digital-scale-image.test.ts
Description:
1. Implement OCR-based scanning specifically for the supplied digital LCD weighing scale; do not implement analog needle detection.
2. Extract values such as 68, 68.7, 68.70, 98 and 98.40.
3. Support OCR values containing the kg suffix, such as 68.70 kg and 68.70kg.
4. Validate the extracted value before auto-fill using a regex such as ^\\d{2,3}(?:\\.\\d{1,2})?$.
5. Reject negative, alphabetic, malformed, multiple-decimal, impossible and four-digit values.
6. Use the supplied digital-scale image displaying 68.70 kg as the reference test scenario.
7. Add Jest tests for normal, dark, glare, blur, rotation, obstruction and malformed OCR cases.
Acceptance Criteria Covered: US 20.4 – Extraction Logic and Auto-Fill</t>
    </r>
  </si>
  <si>
    <r>
      <t xml:space="preserve">TDD - </t>
    </r>
    <r>
      <rPr>
        <b/>
        <sz val="11"/>
        <color theme="1"/>
        <rFont val="Calibri"/>
        <family val="2"/>
        <scheme val="minor"/>
      </rPr>
      <t>Automated Jest test suite for 3-Dot Menu, Native Sharing &amp; Local Downloads</t>
    </r>
    <r>
      <rPr>
        <sz val="11"/>
        <color theme="1"/>
        <rFont val="Calibri"/>
        <family val="2"/>
        <scheme val="minor"/>
      </rPr>
      <t xml:space="preserve">
Target Files:Create: checkupp-mobile/tests/wallet/walletCardInteractions.test.ts
Ambiguity-Free Technical Specification:
Setup tests using @testing-library/react-native. Mock expo-file-system, expo-sharing, and React Native's Share and Alert modules.  
Test Case 1 (US 6.6, 7.5): Render the FileCard component. Assert the explicit "View" and "Delete" buttons are absent, and the "Share" icon + "3-dot" icon are present.
Test Case 2 (US 6.3, 7.4): Simulate press on the 3-dot menu. Assert Alert.alert (or ActionSheet) is called with "View/Open", "Download" (only for documents, not links/e-scipts), "Delete", and "Cancel".
Test Case 3 (US 6.2, 7.3): Simulate press on the "Share" button for a document. Assert FileSystem.downloadAsync is called, followed by Sharing.shareAsync. For an e-script, assert Share.share is called with the URL.</t>
    </r>
  </si>
  <si>
    <t>Cardiovascular Camera Scanner UI, Permission Handling &amp; Torch Toggle
* **Target Files**:
* `checkupp-mobile/components/screening/CardiovascularHealth.tsx`
* `checkupp-mobile/components/camera/ScannerCameraModal.tsx`
* **Description**:
1. Add a "Scan Monitor" icon/button next to the manual input fields for Blood Pressure on the Cardiovascular screen.
2. Implement `ScanMonitorModal.tsx` using `react-native-vision-camera` (or `expo-camera`).
3. Include native camera permission checks with graceful permission fallback prompts.
4. Design a full-screen camera modal with a centered "Target Bounding Box" overlay instructing the user to "Align your screen's numbers inside this box."
5. Include a prominent manual "Cancel / Enter Manually" button to allow users to exit the camera view at any time.
6. Cap camera frame processing at 15–30 fps via frame processor configuration to optimize device battery consumption and prevent thermal throttling.
7. Add an interactive Torch/Flashlight toggle button overlay on the scanner interface to illuminate dark physical environments, bound to the camera torch property.
* **Acceptance Criteria Covered**: US 19.3 (AC 1, 2, 3, 4, 7)</t>
  </si>
  <si>
    <t>Blood Pressure ML Kit Extraction, Pre-Processing, Y-Coordinate Sorting &amp; Validation
* **Target Files**:
* `checkupp-mobile/lib/utils/ocrUtils.ts`
* `checkupp-mobile/lib/utils/imageUtils.ts
* `checkupp-mobile/components/camera/ScannerCameraModal.tsx`
* `checkupp-mobile/components/screening/CardiovascularHealth.tsx`
* **Description**:
0. Apply imageUtils.ts grayscale and adaptive threshold/contrast filtering to the camera frame buffer before ML Kit processing to strip screen reflections and isolate glowing LCD digits.
1. Integrate Google ML Kit Text Recognition into the camera frame processor to extract numerical text strings dynamically.
2. Implement vertical Y-coordinate sorting in `ocrUtils.ts`:
* Highest Y-coordinate -&gt; Auto-fills **Systolic (mmHg)**
* Middle Y-coordinate -&gt; Auto-fills **Diastolic (mmHg)**
* Lowest Y-coordinate -&gt; Auto-fills **Heart Rate (BPM)**
3. Close the camera modal upon successful extraction, populate the respective form fields, and display a Toast stating: `"Numbers scanned successfully. Please verify against your device."`
4. Implement a 10-second timeout scanner loop. If no valid match is found within 10 seconds, trigger a prompt: `"Having trouble reading the screen. Ensure there is no glare, or switch to manual entry."` with an easy button to exit.
* **Acceptance Criteria Covered**: US 19.3 (AC 5, 6, 8)</t>
  </si>
  <si>
    <t>Glucometer ML Kit Scanning with Frame Pre-Processing &amp; Contextual Reading Modal
* **Target Files**:
* `checkupp-mobile/components/screening/DiabetesTest.tsx`
* `checkupp-mobile/lib/utils/imageUtils.ts
* `checkupp-mobile/components/camera/ScannerCameraModal.tsx`
* `checkupp-mobile/components/ReadingTypeBottomSheet.tsx`
* **Description**:
1. Place a "Scan Glucometer" button prominently at the top of the Blood Glucose section in the Diabetes form.
2. Apply imageUtils.ts threshold/contrast pre-processing to the camera frame to eliminate screen glare before passing to ML Kit.
3. Implement a focused scanner modal targeting single numbers (including decimals, e.g., 5.6 or 12.1) using regular expression matching.
4. Upon capturing the valid glucose value, display `ReadingTypeBottomSheet.tsx` asking: `"What type of reading is this?"` with options:
* Fasting Glucose
* Random Glucose
* Post-Meal Glucose
5. Inject the scanned number specifically into the selected option's field and close the bottom sheet.
6. Enforce human-in-the-loop confirmation where the user must manually tap "Save Reading" to commit to the backend.
7. Add the 10-second scanner timeout alert with manual fallback options.
* **Acceptance Criteria Covered**: US 20.3 - Glucometer (AC 1, 2, 3, 4, 5, 6, 7)</t>
  </si>
  <si>
    <t>Digital Weight Scale Camera Scanner with Image Pre-Processing
* **Target Files**:
* `checkupp-mobile/components/screening/DiabetesTest.tsx`
* `checkupp-mobile/components/camera/ScannerCameraModal.tsx`
* `checkupp-mobile/lib/utils/imageUtils.ts`
* **Description**:
1. Add a "Scan Scale" icon next to the Weight input field on the Diabetes form (and reusable shared modules).
2. Implement `imageUtils.ts` threshold/contrast filter pre-processing on the captured camera frame to isolate glowing LCD digits from reflective or backlit scale surfaces before passing to ML Kit.
3. Extract a 2-to-3 digit number (with or without a single decimal, e.g., 75.4 or 98) using Regex matching.
4. Auto-fill the extracted value directly into the **Weight (kg)** field without triggering secondary contextual modals.
5. Implement the 10-second timeout fallback alert ("Having trouble reading the screen...").
* **Acceptance Criteria Covered**: US 20.3 - Weight Scale (AC 1, 2, 3, 4, 5)</t>
  </si>
  <si>
    <t>Native GCP Storage Integration &amp; Audit Logging
Target: checkupp-api/src/modules/wallet/wallet.service.ts
Native GCP Initialization: Implement the official @google-cloud/storage SDK using the new GCP_* environment variables, explicitly targeting the australia-southeast1 region bucket for onshore data sovereignty. Ensure firebase-admin/storage is completely removed.
Raw Binary Buffer Streaming: In uploadPendingFile, process the incoming raw binary stream captured by express.raw() (eliminating multer), stream it directly into the standard GCP bucket with AES-256 encryption at rest, and generate/return a secure URL.
Audit Compliance &amp; Cleanup: Ensure all uploads and deletions continue to pass through the controller-level tryCreateAuditLog wrapper. Completely remove obsolete local disk storage functions (fs.writeFile, fs.unlink), remove walletUploadsDir from configurations, and ensure the express.static block is deleted from src/app.ts.</t>
  </si>
  <si>
    <t>Backend TDD: GCP &amp; Raw Binary Validation
Target: checkupp-api/tests/modules/wallet/wallet.test.ts
Mocking Storage: Initialize the Jest test suite using supertest. Mock the storage module to intercept bucket uploads and deletes without hitting the live network.
Upload Assertions (US 6.1): Send a valid raw binary buffer payload to PUT /me/wallet/uploads/pending?objectKey=... (matching express.raw()). Assert a 201 response and verify the mocked bucket upload function is invoked.
Deletion Assertions (US 6.3): DELETE /me/wallet/documents/:id. Assert a 200 OK response, verify the mocked bucket delete() method is called for physical documents, and confirm an immutable AuditLog row is written.</t>
  </si>
  <si>
    <t>Offline-First Caching &amp; Native Viewers
Scope: Frontend | Target: checkupp-mobile/components/wallet/WalletItemCard.tsx &amp; Viewers
Smart Caching Layer: Refactor WalletItemCard.tsx to implement local caching checks against FileSystem.documentDirectory, downloading from the GCP URL only when the asset is missing.
Native PDF Intents: Update DocumentViewer.tsx to completely remove react-native-webview, routing local file:// URIs through expo-sharing to launch the device's native PDF reader.
Viewer Fallbacks: Implement a 5-second safety timeout inside ImageViewer.tsx to prevent infinite loading spinners if network latency spikes.</t>
  </si>
  <si>
    <t>Smart Cache &amp; Native Sharing
Target: checkupp-mobile/tests/wallet/walletCardInteractions.test.ts
Mocking File System: Set up tests using @testing-library/react-native, mocking expo-file-system, expo-sharing, and expo-web-browser.
Action Menu (US 6.3): Simulate pressing the 3-dot menu and assert that options render correctly ("View/Open", "Download" for documents, "Delete", "Cancel").
Cross-Platform Sharing (US 6.2): Simulate pressing "Share". For e-scripts, assert native Share.share is invoked; for documents, verify FileSystem.getInfoAsync is checked before invoking Sharing.shareAsync.</t>
  </si>
  <si>
    <t>Pregnancy</t>
  </si>
  <si>
    <t>TDD-01: Extend Checkup Schema Validation (Backend)
Target Files: src/modules/pregnancy/pregnancy.validation.ts, tests/modules/pregnancy/pregnancy.validation.test.ts (New)
Description: Write unit tests verifying new payload flags (isConditional, isAlternative, isReferralOnly). Update checkupItemSchema to explicitly type these new fields while maintaining .unknown(true) backward compatibility.</t>
  </si>
  <si>
    <t>Unit Tests for Milestone Calculation (Frontend)
Target Files: test/Pregnancy/PregnancyCheckups.test.ts (New)
Description: Write Jest tests asserting that calculateCheckupDates correctly generates the new 6-12 week batch (Early 75g OGTT, Cervical screening, Dating scan). Assert that alternative scan paths are correctly structured in the output array.</t>
  </si>
  <si>
    <t>Update CHECKUP_META Data Structure (Frontend)
Target Files: app/(tabs)/pregnancy-planner.tsx
Description: Update the "Routine Blood &amp; Urine Tests" milestone in CHECKUP_META to explicitly list FBC, Rubella, Hep B/C, Syphilis, HIV, and MSU. Add new milestone objects for Cervical Screening, Early 75g OGTT, and the "Early Pregnancy Information" education block. Update the "Non-Invasive Prenatal Testing (NIPT)" and "First Trimester Screening (cFTS)" milestones to explicitly represent the "NIPS + Early Structural Ultrasound OR NT +/- cFTS" pathway.</t>
  </si>
  <si>
    <t>UI Support for Conditional Milestones (Frontend)
Target Files: app/(tabs)/pregnancy-planner.tsx
Description: Modify the checklist rendering map function to display a visual "Conditional" badge for items like the "Dating scan (if LMP uncertain)". Add an "OR" visual separator between alternative screening paths (NIPS vs. NT scan) within the checklist UI. Update the "Influenza Vaccination" milestone to indicate "Anytime" rather than strictly week 14.</t>
  </si>
  <si>
    <t>Update Educational Tips Content (Frontend)
Target Files: components/PregnancyTips.tsx
Description: Modify the pregnancyTips array objects for the 5-7 and 8-10 week ranges. Add explicitly required educational text: Covid-19 vaccine, Reproductive Carrier Screening, genetic counselling, CMV prevention, iodine/folic acid, pelvic floor exercises, and quitting smoking/alcohol.</t>
  </si>
  <si>
    <t>Verify Calendar &amp; Reminder Sync (Frontend)
Target Files: app/(tabs)/pregnancy-planner.tsx
Description: Test the handleSave notification scheduling loop to ensure the newly added checkups correctly trigger addDatesToCalendar and scheduleNotifications. Ensure string-matching logic for getNotificationIdentifiersByTitles gracefully handles the longer, updated checklist names.</t>
  </si>
  <si>
    <t>XL</t>
  </si>
  <si>
    <t>TDD - Write Unit Tests for Crypto Utility
Target Files: tests/utils/crypto.util.test.ts
Implementation Steps:
- Scaffold the Jest test suite for a new crypto.util module.
- Define the failing test assertions required to validate AES-256-GCM encryption and decryption.
- Mock process.env.WALLET_ENCRYPTION_KEY to provide a valid 32-byte string during the test run.
TDD Test Assertions (To be written):
[ ] it('should encrypt a plaintext string into a structured iv:tag:ciphertext format')
[ ] it('should successfully decrypt a valid iv:tag:ciphertext string back to the original plaintext')
[ ] it('should throw a decipher authentication error if the ciphertext payload is altered')
[ ] it('should throw a decipher authentication error if the authentication tag is altered')
Acceptance Criteria:
[ ] The test suite runs and correctly fails (Red phase of TDD) awaiting the implementation ticket.</t>
  </si>
  <si>
    <t>Implement Crypto Utility (AES-256-GCM)
Target Files: checkupp-api/src/utils/crypto.util.ts
Implementation Steps:
1. Environment Variable: Read WALLET_ENCRYPTION_KEY from process.env. Throw an initialization error if missing or not exactly 32 bytes.
2. Algorithm: Hardcode the cipher algorithm strictly as aes-256-gcm.
3. Encrypt Function (encryptLink):
Accept a plain text URL string.
Generate a 16-byte Initialization Vector via crypto.randomBytes(16).
Create a cipher using crypto.createCipheriv.
Extract the 16-byte Authentication Tag via cipher.getAuthTag().
Return a formatted string exact match: iv_hex:tag_hex:ciphertext_hex.
4. Decrypt Function (decryptLink):
Accept the formatted ciphertext string and split it by :.
Create a decipher using crypto.createDecipheriv.
Set the auth tag via decipher.setAuthTag(Buffer.from(tag_hex, 'hex')).
Decrypt and return the original UTF-8 string.
Acceptance Criteria:
[ ] All tests defined in Ticket 1 pass successfully (Green phase).
[ ] 100% statement coverage achieved on crypto.util.ts.</t>
  </si>
  <si>
    <t>TDD - Write Unit Tests for Wallet Service Encryption Integration
Target Files: checkupp-api/tests/modules/wallet/wallet.service.test.ts
Implementation Steps:
Locate the existing wallet.service test suite.
Mock the incoming crypto.util.ts dependencies (encryptLink, decryptLink).
Write failing test assertions for the createLink and listDocuments flows to ensure data is intercepted before Prisma queries.
TDD Test Assertions (To be written):
[ ] it('should pass the URL to encryptLink before calling prisma.walletItem.create')
[ ] it('should pass stored database ciphertext to decryptLink before returning the item list')
[ ] it('should gracefully skip decryption and return null/undefined if the externalUrl field is empty')
[ ] it('should throw a 500 Internal Server Error if decryption fails during the database read cycle')
Acceptance Criteria:
[ ] The test suite runs and correctly fails awaiting implementation.</t>
  </si>
  <si>
    <t>Integrate Encryption into Wallet Service
Target Files: checkupp-api/src/modules/wallet/wallet.service.ts
Implementation Steps:
Write Operation (createLink): Intercept the externalUrl or publicUrl payload before it hits prisma.walletItem.create. Pass it through encryptLink() and map the resulting iv:tag:ciphertext string to the Prisma creation object.
Read Operation (getWalletItems / listDocuments): When querying prisma.walletItem.findMany, map over the returned object array. If an item contains a populated externalUrl (an e-script), pass that string through decryptLink() to mutate it back to plain text before returning it to the controller.
Acceptance Criteria:
[ ] All tests defined in Ticket 3 pass successfully.
[ ] E-script URLs are persisted in the database exclusively as encrypted strings, while API responses to the client remain plain-text.</t>
  </si>
  <si>
    <t>TDD - Write Unit Tests for Frontend Picker Restrictions
Target Files: checkupp-mobile/test/hooks/useDocumentUpload.test.ts
Implementation Steps:
Scaffold or locate the tests for the useDocumentUpload hook.
Write tests that assert the correct MIME type arrays are being passed to Expo's picker configurations.
Mock a scenario where a user bypasses the picker (e.g., via intent) and provides a non-whitelisted file.
TDD Test Assertions (To be written):
[ ] it('should configure DocumentPicker with the exact array of whitelisted document MIME types') = ['application/pdf', 'application/msword', 'application/vnd.openxmlformats-officedocument.wordprocessingml.document', 'text/csv', 'application/vnd.openxmlformats-officedocument.spreadsheetml.sheet']
[ ] it('should configure ImagePicker with the exact array of whitelisted image MIME types') = ['image/jpeg', 'image/png', 'image/heic', 'public.heic']
[ ] it('should abort upload and trigger showToast("Unsupported file format") if an unwhitelisted file bypasses the picker')
Acceptance Criteria:
[ ] Tests correctly fail awaiting the hook update.</t>
  </si>
  <si>
    <t>Implement Frontend OS-Level Picker Restrictions
Target Files: checkupp-mobile/hooks/useDocumentUpload.ts
Implementation Steps:
Document Picker Config: Update expo-document-picker options. Set the type property strictly to: ['application/pdf', 'application/msword', 'application/vnd.openxmlformats-officedocument.wordprocessingml.document', 'text/csv', 'application/vnd.openxmlformats-officedocument.spreadsheetml.sheet'].
Image Picker Config: Update expo-image-picker to strictly accept: ['image/jpeg', 'image/png', 'image/heic', 'public.heic'].
Bypass Fallback: Add a manual string validation check on the selected file's returned mimeType against a hardcoded whitelist. If it fails, trigger the existing error toast and abort the upload function early.
Acceptance Criteria:
[ ] All tests defined in Ticket 5 pass successfully.
[ ] Non-whitelisted files (e.g., .mp4, .exe) are physically unselectable in the native iOS/Android file explorers.</t>
  </si>
  <si>
    <t>TDD - Write Unit Tests for Signed URL Pre-Flight Validation
Target Files: checkupp-api/tests/modules/wallet/wallet.controller.test.ts
Implementation Steps:
Locate the test suite for the GCP Signed URL generation controller.
Mock the Express req object to simulate payloads with missing, invalid, and valid mimeType fields.
Ensure the GCP SDK mock is specifically checked to not be called during failure states.
TDD Test Assertions (To be written):
[ ] it('should generate and return a GCP Signed URL when the body contains a valid mimeType (e.g., application/pdf)')
[ ] it('should return a 415 error if the requested mimeType is not in the hardcoded whitelist (e.g., application/x-msdownload)')
[ ] it('should return a 400 error if the mimeType is entirely missing from the request payload')
[ ] it('should not invoke the GCP Storage SDK if validation fails')
Acceptance Criteria:
[ ] Tests correctly fail awaiting controller logic updates.</t>
  </si>
  <si>
    <t>Implement Backend Signed URL Pre-Flight Validation
Target Files: checkupp-api/src/modules/wallet/wallet.controller.ts
Implementation Steps:
Extract Content-Type: Update the /upload-url POST route to require mimeType in the incoming JSON body.
Strict Whitelist Array: Define a constant array containing the 8 allowed MIME types from Ticket 6.
Validation Logic: Intercept the request. If req.body.mimeType is missing, return HTTP 400 Bad Request.
Rejection: If req.body.mimeType is not found within the whitelist array, return HTTP 415 Unsupported Media Type before any GCP Storage logic is executed.
Acceptance Criteria:
[ ] All tests defined in Ticket 7 pass successfully.
[ ] API requests attempting to generate a Signed URL for unsupported files fail securely at the controller level.</t>
  </si>
  <si>
    <t>Mapped User Stories</t>
  </si>
  <si>
    <t>Target File</t>
  </si>
  <si>
    <t>Task#</t>
  </si>
  <si>
    <t>US 5.2, 5.3, 5.4, 5.5, 5.6, 5.9</t>
  </si>
  <si>
    <t xml:space="preserve"> Create test/Immunisation/use-immunisation-categories.test.ts</t>
  </si>
  <si>
    <t>*Ambiguity-Free Technical Specification:*
1. *Test Setup:* Initialize a pure Jest test suite using @testing-library/react-hooks (or React test renderer) to validate the pure logic of the useImmunisationCategories hook.
2. *Age Mapping (US 5.2):*
* Mock global profile age: 18. Assert recommended array strictly contains { id: 'adult', title: 'Adults' }.
* Test boundary conditions: age: 49 (Adult), age: 50 (50+ Years), age: 15 (Adolescent), age: 75 (75+ Years). Assert only one age category is ever returned in recommended.
3. *Pregnancy Mapping (US 5.3):*
* Mock profile gender: 'female', lmpDate: '2026-08-01', age: 25. Assert recommended array has length 2 and contains both "Adults" and "Pregnancy".
* Mock gender: 'male' with an lmpDate. Assert "Pregnancy" is strictly excluded from recommended and otherCategories.
4. *Universal &amp; Age-Gated Categories (US 5.4, 5.5, 5.6):*
* Assert *"Travel"* and *"At Risk"* are always present in the otherCategories array regardless of mock profile.
* Mock age: 16. Assert "Children" appears in otherCategories. Mock age: 15. Assert it is excluded.
5. *Graceful Degradation (US 5.9):*
* Mock an empty profile (age: null, gender: undefined, lmpDate: null).
* Assert the hook does not crash. Assert recommended array is [] (empty). Assert otherCategories contains "Travel", "At Risk", and any other universal fallbacks, but no age-specific cards.</t>
  </si>
  <si>
    <t>US 5.0, 5.1, 5.7, 5.8</t>
  </si>
  <si>
    <t>Create test/Immunisation/immunisation-ui-layout.test.tsx</t>
  </si>
  <si>
    <t>Ambiguity-Free Technical Specification:*
1. *Test Setup:* Use @testing-library/react-native to mount &lt;ImmunisationCheck/&gt;. Mock the expo-router to intercept navigation calls. Mock useImmunisationCategories to return standard dummy data.
2. *Hierarchy &amp; Sections (US 5.1):*
* Use getByText to assert the presence of exact text nodes: "Recommended for You", "Quick Actions", and "Other Categories".
* Assert they appear in exactly that vertical order (by checking their relative positions or parent nodes).
* Assert the old redundant text ("Recommended for Age 25") does not exist in the DOM.
3. *Interactions &amp; Routing (US 5.7, 5.8):*
* Query the CategoryCard for "Travel".
* Execute fireEvent.press.
* Assert router.push was called with the exact argument '/immunisation/travel'.
4. *Text Truncation (US 5.1):*
* Assert that the rendered CategoryCard's primary Text component contains the exact prop numberOfLines={1}. Do not allow Marquee components to pass the test.</t>
  </si>
  <si>
    <t xml:space="preserve"> US 5.0, 5.1, 5.7</t>
  </si>
  <si>
    <t>* Create constants/ImmunisationData.ts
* Modify app/(tabs)/health-screening.tsx</t>
  </si>
  <si>
    <t xml:space="preserve">*Ambiguity-Free Technical Specification:*
1. *Data Dictionary:* In ImmunisationData.ts, export the fully updated, strictly typed JSON structure containing the *9 categories*.
* Ensure seventyFivePlus logic explicitly replaces the old 70+ bracket.
* Ensure the atRisk category is included alongside its respective condition list.
* Under the travel key, ensure the 3 new vaccines (Cholera, Tuberculosis, Rabies) and the external URL links are present.
2. *Router State Extension:* In health-screening.tsx, locate const [activeTab, setActiveTab] = useState&lt;"cancer" | "health"&gt;(initialTab);.
* Update the union type to include "vaccine": useState&lt;"cancer" | "health" | "vaccine"&gt;.
* Update the initialTab useMemo hook to accept the incoming deep link: return tabParam === "cancer" || tabParam === "health" || tabParam === "vaccine" ? tabParam : "health";
3. *UI Route Injection:* In the ScrollView return block of health-screening.tsx, update the ternary operator to render the container:
tsx
{activeTab === "cancer" ? (
  /* existing cancer logic */
) : activeTab === "health" ? (
  /* existing health logic */
) : (
  &lt;ImmunisationCheck /&gt;
)}
</t>
  </si>
  <si>
    <t>US 5.0, 5.1</t>
  </si>
  <si>
    <t>* Modify components/screening/ScreeningTabs.tsx
* Rename &amp; Modify components/screening/ImmunisationCheck.tsx (ensure 's' spelling).</t>
  </si>
  <si>
    <t>*Ambiguity-Free Technical Specification:*
1. *Tab UI (US 5.0):* In ScreeningTabs.tsx, append the 3rd touchable tab button: "Vaccine". Ensure the layout evenly distributes (e.g., flex-1 per tab). Wire its onPress to fire setActiveTab("vaccine").
2. *Scaffold Implementation (US 5.1):* Open ImmunisationCheck.tsx. Delete the old redundant "Recommended for Age X" cards.
3. *Layout Structure:* Implement a View with top-to-bottom layout:
* Text component with bold styling for "Recommended for You".
* (Empty injection View for FE-5.4).
* Text component with bold styling for "Quick Actions".
* Move the existing "Add New Vaccination" and "NSW Schedule" touchable buttons here. Ensure their existing onPress modal triggers remain completely intact.
* Text component with bold styling for "Other Categories".</t>
  </si>
  <si>
    <t>US 5.1, 5.8</t>
  </si>
  <si>
    <t>Create components/screening/ImmunisationCategoryCard.tsx</t>
  </si>
  <si>
    <t>*Ambiguity-Free Technical Specification:*
1. *Component Signature:* export default function ImmunisationCategoryCard({ title, subtitle, isRecommended, onPress }: Props)
2. *Styling Rules (Strict):*
* Use TouchableOpacity for the container.
* If isRecommended === true: Apply a colored accent border (e.g., borderColor: '#FDBA74' / Tailwind border-orange-200) or a left-border color stripe.
* If isRecommended === false: Apply a standard grey border (borderColor: '#E5E7EB').
3. *Typography &amp; Layout:*
* Title Text: numberOfLines={1} and ellipsizeMode="tail".
* Subtitle Text: numberOfLines={1} (rendered in a lighter grey font).
* Trailing Icon: Place a ChevronRight (or equivalent from @expo/vector-icons) aligned to the absolute right side to clearly indicate it navigates to a new screen. Do not implement marquee scrolling.</t>
  </si>
  <si>
    <t>* Create hooks/useImmunisationCategories.ts
* Modify components/screening/ImmunisationCheck.tsx</t>
  </si>
  <si>
    <t>Ambiguity-Free Technical Specification:*
1. *Hook Logic:* Create the hook to ingest the user's global profile state (importing age, gender, dob, lmpDate from your existing Context/Zustand store).
2. *Implementation:* Write the exact logic validated in QA-FE-5.1 to evaluate the profile against ImmunisationData.ts keys.
* Update the age evaluation thresholds: Split logic must handle seventyFivePlus strictly for users aged &gt;= 75.
* Ensure the atRisk array is universally pushed to the otherCategories array.
* Return exactly two arrays: { recommended: CategoryItem[], otherCategories: CategoryItem[] }. If age is null, recommended must return [].
3. *Component Wiring:* Inside ImmunisationCheck.tsx, call the hook.
4. *Render Maps:*
* Under "Recommended for You", execute recommended.map((cat) =&gt; ...). Render &lt;ImmunisationCategoryCard ... isRecommended="{true}" onPress="{()"&gt; router.push('/immunisation/' + cat.id)}/&gt;.
* Empty State Check: If recommended.length === 0, render a fallback Text (e.g., "Update your profile age to see personalized recommendations.").
* Under "Other Categories", execute otherCategories.map((cat) =&gt; ...). Render &lt;ImmunisationCategoryCard ... isRecommended="{false}" onPress="{()"&gt; router.push('/immunisation/' + cat.id)}/&gt;.</t>
  </si>
  <si>
    <t>US 5.7, 5.8</t>
  </si>
  <si>
    <t xml:space="preserve"> Create test/Immunisation/use-immunisation-categories.test.ts  *Ambiguity-Free Technical Specification:*
1. *Test Setup:* Initialize a pure Jest test suite using @testing-library/react-hooks (or React test renderer) to validate the pure logic of the useImmunisationCategories hook.
2. *Age Mapping (US 5.2):*
* Mock global profile age: 18. Assert recommended array strictly contains { id: 'adult', title: 'Adults' }.
* Test boundary conditions: age: 49 (Adult), age: 50 (50+ Years), age: 15 (Adolescent), age: 75 (75+ Years). Assert only one age category is ever returned in recommended.
3. *Pregnancy Mapping (US 5.3):*
* Mock profile gender: 'female', lmpDate: '2026-08-01', age: 25. Assert recommended array has length 2 and contains both "Adults" and "Pregnancy".
* Mock gender: 'male' with an lmpDate. Assert "Pregnancy" is strictly excluded from recommended and otherCategories.
4. *Universal &amp; Age-Gated Categories (US 5.4, 5.5, 5.6):*
* Assert *"Travel"* and *"At Risk"* are always present in the otherCategories array regardless of mock profile.
* Mock age: 16. Assert "Children" appears in otherCategories. Mock age: 15. Assert it is excluded.
5. *Graceful Degradation (US 5.9):*
* Mock an empty profile (age: null, gender: undefined, lmpDate: null).
* Assert the hook does not crash. Assert recommended array is [] (empty). Assert otherCategories contains "Travel", "At Risk", and any other universal fallbacks, but no age-specific cards.</t>
  </si>
  <si>
    <t>Create test/Immunisation/immunisation-ui-layout.test.tsx         Ambiguity-Free Technical Specification:*
1. *Test Setup:* Use @testing-library/react-native to mount &lt;ImmunisationCheck/&gt;. Mock the expo-router to intercept navigation calls. Mock useImmunisationCategories to return standard dummy data.
2. *Hierarchy &amp; Sections (US 5.1):*
* Use getByText to assert the presence of exact text nodes: "Recommended for You", "Quick Actions", and "Other Categories".
* Assert they appear in exactly that vertical order (by checking their relative positions or parent nodes).
* Assert the old redundant text ("Recommended for Age 25") does not exist in the DOM.
3. *Interactions &amp; Routing (US 5.7, 5.8):*
* Query the CategoryCard for "Travel".
* Execute fireEvent.press.
* Assert router.push was called with the exact argument '/immunisation/travel'.
4. *Text Truncation (US 5.1):*
* Assert that the rendered CategoryCard's primary Text component contains the exact prop numberOfLines={1}. Do not allow Marquee components to pass the test.</t>
  </si>
  <si>
    <t>* Create constants/ImmunisationData.ts
* Modify app/(tabs)/health-screening.tsx       *Ambiguity-Free Technical Specification:*
1. *Data Dictionary:* In ImmunisationData.ts, export the fully updated, strictly typed JSON structure containing the *9 categories*.
* Ensure seventyFivePlus logic explicitly replaces the old 70+ bracket.
* Ensure the atRisk category is included alongside its respective condition list.
* Under the travel key, ensure the 3 new vaccines (Cholera, Tuberculosis, Rabies) and the external URL links are present.
2. *Router State Extension:* In health-screening.tsx, locate const [activeTab, setActiveTab] = useState&lt;"cancer" | "health"&gt;(initialTab);.
* Update the union type to include "vaccine": useState&lt;"cancer" | "health" | "vaccine"&gt;.
* Update the initialTab useMemo hook to accept the incoming deep link: return tabParam === "cancer" || tabParam === "health" || tabParam === "vaccine" ? tabParam : "health";
3. *UI Route Injection:* In the ScrollView return block of health-screening.tsx, update the ternary operator to render the container:
tsx
{activeTab === "cancer" ? (
  /* existing cancer logic */
) : activeTab === "health" ? (
  /* existing health logic */
) : (
  &lt;ImmunisationCheck /&gt;
)}</t>
  </si>
  <si>
    <t>* Modify components/screening/ScreeningTabs.tsx
* Rename &amp; Modify components/screening/ImmunisationCheck.tsx (ensure 's' spelling).            *Ambiguity-Free Technical Specification:*
1. *Tab UI (US 5.0):* In ScreeningTabs.tsx, append the 3rd touchable tab button: "Vaccine". Ensure the layout evenly distributes (e.g., flex-1 per tab). Wire its onPress to fire setActiveTab("vaccine").
2. *Scaffold Implementation (US 5.1):* Open ImmunisationCheck.tsx. Delete the old redundant "Recommended for Age X" cards.
3. *Layout Structure:* Implement a View with top-to-bottom layout:
* Text component with bold styling for "Recommended for You".
* (Empty injection View for FE-5.4).
* Text component with bold styling for "Quick Actions".
* Move the existing "Add New Vaccination" and "NSW Schedule" touchable buttons here. Ensure their existing onPress modal triggers remain completely intact.
* Text component with bold styling for "Other Categories".</t>
  </si>
  <si>
    <t>Create components/screening/ImmunisationCategoryCard.tsx       *Ambiguity-Free Technical Specification:*
1. *Component Signature:* export default function ImmunisationCategoryCard({ title, subtitle, isRecommended, onPress }: Props)
2. *Styling Rules (Strict):*
* Use TouchableOpacity for the container.
* If isRecommended === true: Apply a colored accent border (e.g., borderColor: '#FDBA74' / Tailwind border-orange-200) or a left-border color stripe.
* If isRecommended === false: Apply a standard grey border (borderColor: '#E5E7EB').
3. *Typography &amp; Layout:*
* Title Text: numberOfLines={1} and ellipsizeMode="tail".
* Subtitle Text: numberOfLines={1} (rendered in a lighter grey font).
* Trailing Icon: Place a ChevronRight (or equivalent from @expo/vector-icons) aligned to the absolute right side to clearly indicate it navigates to a new screen. Do not implement marquee scrolling.</t>
  </si>
  <si>
    <t>* Create hooks/useImmunisationCategories.ts
* Modify components/screening/ImmunisationCheck.tsx           Ambiguity-Free Technical Specification:*
1. *Hook Logic:* Create the hook to ingest the user's global profile state (importing age, gender, dob, lmpDate from your existing Context/Zustand store).
2. *Implementation:* Write the exact logic validated in QA-FE-5.1 to evaluate the profile against ImmunisationData.ts keys.
* Update the age evaluation thresholds: Split logic must handle seventyFivePlus strictly for users aged &gt;= 75.
* Ensure the atRisk array is universally pushed to the otherCategories array.
* Return exactly two arrays: { recommended: CategoryItem[], otherCategories: CategoryItem[] }. If age is null, recommended must return [].
3. *Component Wiring:* Inside ImmunisationCheck.tsx, call the hook.
4. *Render Maps:*
* Under "Recommended for You", execute recommended.map((cat) =&gt; ...). Render &lt;ImmunisationCategoryCard ... isRecommended="{true}" onPress="{()"&gt; router.push('/immunisation/' + cat.id)}/&gt;.
* Empty State Check: If recommended.length === 0, render a fallback Text (e.g., "Update your profile age to see personalized recommendations.").
* Under "Other Categories", execute otherCategories.map((cat) =&gt; ...). Render &lt;ImmunisationCategoryCard ... isRecommended="{false}" onPress="{()"&gt; router.push('/immunisation/' + cat.id)}/&gt;.</t>
  </si>
  <si>
    <t>* Create: components/screening/VaccineListItem.tsx
* Create: app/immunisation/[category].tsx     *Ambiguity-Free Technical Specification:*
*1. Create the VaccineListItem Component*
* *Signature:* export default function ImmunisationListItem({ name, subtitle, onPress }: Props)
* *Styling (Strict):*
* Use a TouchableOpacity container with standard card styling: bg-white, rounded-xl, border border-gray-100, p-4, mb-3. Apply subtle shadow elevation.
* *Primary Text:* Render name using font-pmedium text-gray-900.
* *Secondary Text (CRITICAL):* If subtitle exists, render it directly below the name using font-pregular text-gray-500 text-sm. *Do NOT use numberOfLines={1}.* Allow this text to fully wrap so users can read the detailed clinical rules and conditions.
* *Trailing Action:* Add a trailing Ionicons (e.g., chevron-forward or information-circle-outline) aligned to the right side.
*2. Create the Dynamic Route Screen ([category].tsx)*
* *Dynamic Route Init:* Use const { category } = useLocalSearchParams(); to grab the ID (e.g., 'travel').
* *Navigation Header:* Use Stack.Screen to dynamically set the header title.
* *Data Fetching:* Look up the category string as a key in constants/ImmunisationData.ts to retrieve the array of vaccines for that specific list.
* *UI Layout (US 5.7):* Render a FlatList.
* contentContainerStyle: Add standard padding (px-5, pt-4, pb-10).
* renderItem: Return &lt;VaccineListItem name="{item.name}" onPress="{()" subtitle="{item.subtitle}"&gt; handleVaccinePress(item)} /&gt;.
* ListEmptyComponent: Render an &lt;EmptyState message="No vaccines found for this category."/&gt; component gracefully.
* *Interaction (US 5.8):* Write the handleVaccinePress function.
* If item.link exists, execute WebBrowser.openBrowserAsync(item.link) to open external URLs (like for TB/Cholera).
* Otherwise, log selection or wire to standard detail modal alert.</t>
  </si>
  <si>
    <t>* Create: components/screening/VaccineListItem.tsx
* Create: app/immunisation/[category].tsx</t>
  </si>
  <si>
    <t>Immunisation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</si>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</sst>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Calibri"/>
      <family val="2"/>
      <scheme val="minor"/>
    </font>
    <font>
      <b/>
      <sz val="12"/>
      <color theme="0"/>
      <name val="Calibri"/>
      <family val="2"/>
      <scheme val="minor"/>
    </font>
    <font>
      <b/>
      <sz val="11"/>
      <color theme="1"/>
      <name val="Calibri"/>
      <family val="2"/>
      <scheme val="minor"/>
    </font>
    <font>
      <sz val="8"/>
      <name val="Calibri"/>
      <family val="2"/>
      <scheme val="minor"/>
    </font>
    <font>
      <sz val="11"/>
      <color theme="1" tint="4.9989318521683403E-2"/>
      <name val="Calibri"/>
      <family val="2"/>
      <scheme val="minor"/>
    </font>
    <font>
      <b/>
      <sz val="11"/>
      <color theme="1" tint="4.9989318521683403E-2"/>
      <name val="Calibri"/>
      <family val="2"/>
      <scheme val="minor"/>
    </font>
    <font>
      <sz val="11"/>
      <color rgb="FFFF0000"/>
      <name val="Calibri"/>
      <family val="2"/>
      <scheme val="minor"/>
    </font>
  </fonts>
  <fills count="10">
    <fill>
      <patternFill patternType="none"/>
    </fill>
    <fill>
      <patternFill patternType="gray125"/>
    </fill>
    <fill>
      <patternFill patternType="solid">
        <fgColor rgb="FF7030A0"/>
        <bgColor indexed="64"/>
      </patternFill>
    </fill>
    <fill>
      <patternFill patternType="solid">
        <fgColor theme="7" tint="0.79998168889431442"/>
        <bgColor indexed="64"/>
      </patternFill>
    </fill>
    <fill>
      <patternFill patternType="solid">
        <fgColor theme="0"/>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4"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0" fontId="0" fillId="0" borderId="0" xfId="0" applyAlignment="1">
      <alignment wrapText="1"/>
    </xf>
    <xf numFmtId="0" fontId="0" fillId="0" borderId="0" xfId="0" applyAlignment="1">
      <alignment horizontal="center"/>
    </xf>
    <xf numFmtId="0" fontId="2" fillId="2" borderId="1" xfId="0" applyFont="1" applyFill="1" applyBorder="1" applyAlignment="1">
      <alignment horizontal="center" vertical="center" wrapText="1"/>
    </xf>
    <xf numFmtId="0" fontId="0" fillId="3" borderId="1" xfId="0" applyFill="1" applyBorder="1" applyAlignment="1">
      <alignment wrapText="1"/>
    </xf>
    <xf numFmtId="0" fontId="0" fillId="3" borderId="1" xfId="0" applyFill="1" applyBorder="1" applyAlignment="1">
      <alignment horizontal="center" vertical="center" wrapText="1"/>
    </xf>
    <xf numFmtId="0" fontId="0" fillId="3" borderId="1" xfId="0" applyFill="1" applyBorder="1" applyAlignment="1">
      <alignment vertical="center" wrapText="1"/>
    </xf>
    <xf numFmtId="0" fontId="0" fillId="3" borderId="1" xfId="0" applyFill="1" applyBorder="1" applyAlignment="1">
      <alignment horizontal="left" vertical="center" wrapText="1"/>
    </xf>
    <xf numFmtId="0" fontId="1"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horizontal="left" vertical="center" wrapText="1"/>
    </xf>
    <xf numFmtId="0" fontId="0" fillId="5" borderId="1" xfId="0" applyFill="1" applyBorder="1" applyAlignment="1">
      <alignment horizontal="center" vertical="center" wrapText="1"/>
    </xf>
    <xf numFmtId="0" fontId="0" fillId="5" borderId="1" xfId="0" applyFill="1" applyBorder="1" applyAlignment="1">
      <alignment horizontal="left" vertical="center" wrapText="1"/>
    </xf>
    <xf numFmtId="0" fontId="0" fillId="6" borderId="1" xfId="0" applyFill="1" applyBorder="1" applyAlignment="1">
      <alignment horizontal="center" vertical="center" wrapText="1"/>
    </xf>
    <xf numFmtId="0" fontId="0" fillId="6" borderId="1" xfId="0" applyFill="1" applyBorder="1" applyAlignment="1">
      <alignment horizontal="left" vertical="center" wrapText="1"/>
    </xf>
    <xf numFmtId="0" fontId="3" fillId="5" borderId="1" xfId="0" applyFont="1" applyFill="1" applyBorder="1" applyAlignment="1">
      <alignment horizontal="left" vertical="center" wrapText="1"/>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wrapText="1"/>
    </xf>
    <xf numFmtId="0" fontId="0" fillId="0" borderId="1" xfId="0" applyBorder="1" applyAlignment="1">
      <alignment horizontal="center" vertical="center" wrapText="1"/>
    </xf>
    <xf numFmtId="0" fontId="3" fillId="7" borderId="1" xfId="0" applyFont="1" applyFill="1" applyBorder="1" applyAlignment="1">
      <alignment horizontal="center" vertical="center"/>
    </xf>
    <xf numFmtId="0" fontId="3" fillId="7" borderId="1" xfId="0" applyFont="1" applyFill="1" applyBorder="1" applyAlignment="1">
      <alignment horizontal="center" vertical="center" wrapText="1"/>
    </xf>
    <xf numFmtId="0" fontId="1" fillId="8" borderId="0" xfId="0" applyFont="1" applyFill="1" applyAlignment="1">
      <alignment horizontal="center"/>
    </xf>
    <xf numFmtId="0" fontId="1" fillId="8" borderId="0" xfId="0" applyFont="1" applyFill="1"/>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0" fontId="0" fillId="9" borderId="1" xfId="0" applyFill="1" applyBorder="1"/>
    <xf numFmtId="0" fontId="0" fillId="9" borderId="1"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Sprint 01 - Burndown</a:t>
            </a:r>
            <a:r>
              <a:rPr lang="en-IN" baseline="0"/>
              <a:t>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'Sprint 01 Burndown'!$C$1</c:f>
              <c:strCache>
                <c:ptCount val="1"/>
                <c:pt idx="0">
                  <c:v>Actual Story Points Left</c:v>
                </c:pt>
              </c:strCache>
            </c:strRef>
          </c:tx>
          <c:spPr>
            <a:ln w="28575" cap="rnd">
              <a:solidFill>
                <a:schemeClr val="accent1"/>
              </a:solidFill>
              <a:round/>
            </a:ln>
            <a:effectLst/>
          </c:spPr>
          <c:marker>
            <c:symbol val="none"/>
          </c:marker>
          <c:cat>
            <c:numRef>
              <c:f>'Sprint 01 Burndown'!$B$2:$B$10</c:f>
              <c:numCache>
                <c:formatCode>m/d/yyyy</c:formatCode>
                <c:ptCount val="9"/>
                <c:pt idx="0">
                  <c:v>46237</c:v>
                </c:pt>
                <c:pt idx="1">
                  <c:v>46238</c:v>
                </c:pt>
                <c:pt idx="2">
                  <c:v>46239</c:v>
                </c:pt>
                <c:pt idx="3">
                  <c:v>46240</c:v>
                </c:pt>
                <c:pt idx="4">
                  <c:v>46241</c:v>
                </c:pt>
                <c:pt idx="5">
                  <c:v>46244</c:v>
                </c:pt>
                <c:pt idx="6">
                  <c:v>46245</c:v>
                </c:pt>
                <c:pt idx="7">
                  <c:v>46246</c:v>
                </c:pt>
                <c:pt idx="8">
                  <c:v>46247</c:v>
                </c:pt>
              </c:numCache>
            </c:numRef>
          </c:cat>
          <c:val>
            <c:numRef>
              <c:f>'Sprint 01 Burndown'!$C$2:$C$10</c:f>
              <c:numCache>
                <c:formatCode>General</c:formatCode>
                <c:ptCount val="9"/>
                <c:pt idx="0">
                  <c:v>82</c:v>
                </c:pt>
                <c:pt idx="1">
                  <c:v>74</c:v>
                </c:pt>
                <c:pt idx="2">
                  <c:v>66</c:v>
                </c:pt>
                <c:pt idx="3">
                  <c:v>66</c:v>
                </c:pt>
                <c:pt idx="4">
                  <c:v>66</c:v>
                </c:pt>
                <c:pt idx="5">
                  <c:v>62</c:v>
                </c:pt>
                <c:pt idx="6">
                  <c:v>52</c:v>
                </c:pt>
                <c:pt idx="7">
                  <c:v>37</c:v>
                </c:pt>
                <c:pt idx="8">
                  <c:v>0</c:v>
                </c:pt>
              </c:numCache>
            </c:numRef>
          </c:val>
          <c:smooth val="0"/>
          <c:extLst>
            <c:ext xmlns:c16="http://schemas.microsoft.com/office/drawing/2014/chart" uri="{C3380CC4-5D6E-409C-BE32-E72D297353CC}">
              <c16:uniqueId val="{00000000-93A3-4D70-A15D-11D521EE13C6}"/>
            </c:ext>
          </c:extLst>
        </c:ser>
        <c:ser>
          <c:idx val="1"/>
          <c:order val="1"/>
          <c:tx>
            <c:strRef>
              <c:f>'Sprint 01 Burndown'!$D$1</c:f>
              <c:strCache>
                <c:ptCount val="1"/>
                <c:pt idx="0">
                  <c:v>Expected Story Points Left</c:v>
                </c:pt>
              </c:strCache>
            </c:strRef>
          </c:tx>
          <c:spPr>
            <a:ln w="28575" cap="rnd">
              <a:solidFill>
                <a:schemeClr val="accent2"/>
              </a:solidFill>
              <a:round/>
            </a:ln>
            <a:effectLst/>
          </c:spPr>
          <c:marker>
            <c:symbol val="none"/>
          </c:marker>
          <c:cat>
            <c:numRef>
              <c:f>'Sprint 01 Burndown'!$B$2:$B$10</c:f>
              <c:numCache>
                <c:formatCode>m/d/yyyy</c:formatCode>
                <c:ptCount val="9"/>
                <c:pt idx="0">
                  <c:v>46237</c:v>
                </c:pt>
                <c:pt idx="1">
                  <c:v>46238</c:v>
                </c:pt>
                <c:pt idx="2">
                  <c:v>46239</c:v>
                </c:pt>
                <c:pt idx="3">
                  <c:v>46240</c:v>
                </c:pt>
                <c:pt idx="4">
                  <c:v>46241</c:v>
                </c:pt>
                <c:pt idx="5">
                  <c:v>46244</c:v>
                </c:pt>
                <c:pt idx="6">
                  <c:v>46245</c:v>
                </c:pt>
                <c:pt idx="7">
                  <c:v>46246</c:v>
                </c:pt>
                <c:pt idx="8">
                  <c:v>46247</c:v>
                </c:pt>
              </c:numCache>
            </c:numRef>
          </c:cat>
          <c:val>
            <c:numRef>
              <c:f>'Sprint 01 Burndown'!$D$2:$D$10</c:f>
              <c:numCache>
                <c:formatCode>General</c:formatCode>
                <c:ptCount val="9"/>
                <c:pt idx="0">
                  <c:v>82</c:v>
                </c:pt>
                <c:pt idx="1">
                  <c:v>71.75</c:v>
                </c:pt>
                <c:pt idx="2">
                  <c:v>61.5</c:v>
                </c:pt>
                <c:pt idx="3">
                  <c:v>51.25</c:v>
                </c:pt>
                <c:pt idx="4">
                  <c:v>41</c:v>
                </c:pt>
                <c:pt idx="5">
                  <c:v>30.75</c:v>
                </c:pt>
                <c:pt idx="6">
                  <c:v>20.5</c:v>
                </c:pt>
                <c:pt idx="7">
                  <c:v>10.25</c:v>
                </c:pt>
                <c:pt idx="8">
                  <c:v>0</c:v>
                </c:pt>
              </c:numCache>
            </c:numRef>
          </c:val>
          <c:smooth val="0"/>
          <c:extLst>
            <c:ext xmlns:c16="http://schemas.microsoft.com/office/drawing/2014/chart" uri="{C3380CC4-5D6E-409C-BE32-E72D297353CC}">
              <c16:uniqueId val="{00000001-93A3-4D70-A15D-11D521EE13C6}"/>
            </c:ext>
          </c:extLst>
        </c:ser>
        <c:dLbls>
          <c:showLegendKey val="0"/>
          <c:showVal val="0"/>
          <c:showCatName val="0"/>
          <c:showSerName val="0"/>
          <c:showPercent val="0"/>
          <c:showBubbleSize val="0"/>
        </c:dLbls>
        <c:smooth val="0"/>
        <c:axId val="228576623"/>
        <c:axId val="228581423"/>
      </c:lineChart>
      <c:catAx>
        <c:axId val="228576623"/>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581423"/>
        <c:crosses val="autoZero"/>
        <c:auto val="0"/>
        <c:lblAlgn val="ctr"/>
        <c:lblOffset val="100"/>
        <c:noMultiLvlLbl val="1"/>
      </c:catAx>
      <c:valAx>
        <c:axId val="22858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576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Sprint 02 - Burndown</a:t>
            </a:r>
            <a:r>
              <a:rPr lang="en-IN" baseline="0"/>
              <a:t>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'Sprint 02 Burndown'!$C$1</c:f>
              <c:strCache>
                <c:ptCount val="1"/>
                <c:pt idx="0">
                  <c:v>Actual Story Points Left</c:v>
                </c:pt>
              </c:strCache>
            </c:strRef>
          </c:tx>
          <c:spPr>
            <a:ln w="28575" cap="rnd">
              <a:solidFill>
                <a:schemeClr val="accent1"/>
              </a:solidFill>
              <a:round/>
            </a:ln>
            <a:effectLst/>
          </c:spPr>
          <c:marker>
            <c:symbol val="none"/>
          </c:marker>
          <c:cat>
            <c:numRef>
              <c:f>'Sprint 02 Burndown'!$B$2:$B$10</c:f>
              <c:numCache>
                <c:formatCode>m/d/yyyy</c:formatCode>
                <c:ptCount val="9"/>
                <c:pt idx="0">
                  <c:v>46251</c:v>
                </c:pt>
                <c:pt idx="1">
                  <c:v>46252</c:v>
                </c:pt>
                <c:pt idx="2">
                  <c:v>46253</c:v>
                </c:pt>
                <c:pt idx="3">
                  <c:v>46254</c:v>
                </c:pt>
                <c:pt idx="4">
                  <c:v>46255</c:v>
                </c:pt>
                <c:pt idx="5">
                  <c:v>46258</c:v>
                </c:pt>
                <c:pt idx="6">
                  <c:v>46259</c:v>
                </c:pt>
                <c:pt idx="7">
                  <c:v>46260</c:v>
                </c:pt>
                <c:pt idx="8">
                  <c:v>46261</c:v>
                </c:pt>
              </c:numCache>
            </c:numRef>
          </c:cat>
          <c:val>
            <c:numRef>
              <c:f>'Sprint 02 Burndown'!$C$2:$C$10</c:f>
              <c:numCache>
                <c:formatCode>General</c:formatCode>
                <c:ptCount val="9"/>
                <c:pt idx="0">
                  <c:v>75</c:v>
                </c:pt>
                <c:pt idx="1">
                  <c:v>75</c:v>
                </c:pt>
                <c:pt idx="2">
                  <c:v>75</c:v>
                </c:pt>
                <c:pt idx="3">
                  <c:v>72</c:v>
                </c:pt>
                <c:pt idx="4">
                  <c:v>65</c:v>
                </c:pt>
                <c:pt idx="5">
                  <c:v>60</c:v>
                </c:pt>
                <c:pt idx="6">
                  <c:v>48</c:v>
                </c:pt>
                <c:pt idx="7">
                  <c:v>35</c:v>
                </c:pt>
                <c:pt idx="8">
                  <c:v>0</c:v>
                </c:pt>
              </c:numCache>
            </c:numRef>
          </c:val>
          <c:smooth val="0"/>
          <c:extLst>
            <c:ext xmlns:c16="http://schemas.microsoft.com/office/drawing/2014/chart" uri="{C3380CC4-5D6E-409C-BE32-E72D297353CC}">
              <c16:uniqueId val="{00000000-4DC3-4944-9A66-86CC22E2D92F}"/>
            </c:ext>
          </c:extLst>
        </c:ser>
        <c:ser>
          <c:idx val="1"/>
          <c:order val="1"/>
          <c:tx>
            <c:strRef>
              <c:f>'Sprint 02 Burndown'!$D$1</c:f>
              <c:strCache>
                <c:ptCount val="1"/>
                <c:pt idx="0">
                  <c:v>Expected Story Points Left</c:v>
                </c:pt>
              </c:strCache>
            </c:strRef>
          </c:tx>
          <c:spPr>
            <a:ln w="28575" cap="rnd">
              <a:solidFill>
                <a:schemeClr val="accent2"/>
              </a:solidFill>
              <a:round/>
            </a:ln>
            <a:effectLst/>
          </c:spPr>
          <c:marker>
            <c:symbol val="none"/>
          </c:marker>
          <c:cat>
            <c:numRef>
              <c:f>'Sprint 02 Burndown'!$B$2:$B$10</c:f>
              <c:numCache>
                <c:formatCode>m/d/yyyy</c:formatCode>
                <c:ptCount val="9"/>
                <c:pt idx="0">
                  <c:v>46251</c:v>
                </c:pt>
                <c:pt idx="1">
                  <c:v>46252</c:v>
                </c:pt>
                <c:pt idx="2">
                  <c:v>46253</c:v>
                </c:pt>
                <c:pt idx="3">
                  <c:v>46254</c:v>
                </c:pt>
                <c:pt idx="4">
                  <c:v>46255</c:v>
                </c:pt>
                <c:pt idx="5">
                  <c:v>46258</c:v>
                </c:pt>
                <c:pt idx="6">
                  <c:v>46259</c:v>
                </c:pt>
                <c:pt idx="7">
                  <c:v>46260</c:v>
                </c:pt>
                <c:pt idx="8">
                  <c:v>46261</c:v>
                </c:pt>
              </c:numCache>
            </c:numRef>
          </c:cat>
          <c:val>
            <c:numRef>
              <c:f>'Sprint 02 Burndown'!$D$2:$D$10</c:f>
              <c:numCache>
                <c:formatCode>General</c:formatCode>
                <c:ptCount val="9"/>
                <c:pt idx="0">
                  <c:v>75</c:v>
                </c:pt>
                <c:pt idx="1">
                  <c:v>65.625</c:v>
                </c:pt>
                <c:pt idx="2">
                  <c:v>56.25</c:v>
                </c:pt>
                <c:pt idx="3">
                  <c:v>46.875</c:v>
                </c:pt>
                <c:pt idx="4">
                  <c:v>37.5</c:v>
                </c:pt>
                <c:pt idx="5">
                  <c:v>28.125</c:v>
                </c:pt>
                <c:pt idx="6">
                  <c:v>18.75</c:v>
                </c:pt>
                <c:pt idx="7">
                  <c:v>9.375</c:v>
                </c:pt>
                <c:pt idx="8">
                  <c:v>0</c:v>
                </c:pt>
              </c:numCache>
            </c:numRef>
          </c:val>
          <c:smooth val="0"/>
          <c:extLst>
            <c:ext xmlns:c16="http://schemas.microsoft.com/office/drawing/2014/chart" uri="{C3380CC4-5D6E-409C-BE32-E72D297353CC}">
              <c16:uniqueId val="{00000001-4DC3-4944-9A66-86CC22E2D92F}"/>
            </c:ext>
          </c:extLst>
        </c:ser>
        <c:dLbls>
          <c:showLegendKey val="0"/>
          <c:showVal val="0"/>
          <c:showCatName val="0"/>
          <c:showSerName val="0"/>
          <c:showPercent val="0"/>
          <c:showBubbleSize val="0"/>
        </c:dLbls>
        <c:smooth val="0"/>
        <c:axId val="1501547104"/>
        <c:axId val="1501322672"/>
      </c:lineChart>
      <c:catAx>
        <c:axId val="1501547104"/>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322672"/>
        <c:crosses val="autoZero"/>
        <c:auto val="0"/>
        <c:lblAlgn val="ctr"/>
        <c:lblOffset val="100"/>
        <c:noMultiLvlLbl val="0"/>
      </c:catAx>
      <c:valAx>
        <c:axId val="150132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547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Sprint 03 - Burndown</a:t>
            </a:r>
            <a:r>
              <a:rPr lang="en-IN" baseline="0"/>
              <a:t>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'Sprint 03 Burndown'!$C$1</c:f>
              <c:strCache>
                <c:ptCount val="1"/>
                <c:pt idx="0">
                  <c:v>Actual Story Points Left</c:v>
                </c:pt>
              </c:strCache>
            </c:strRef>
          </c:tx>
          <c:spPr>
            <a:ln w="28575" cap="rnd">
              <a:solidFill>
                <a:schemeClr val="accent1"/>
              </a:solidFill>
              <a:round/>
            </a:ln>
            <a:effectLst/>
          </c:spPr>
          <c:marker>
            <c:symbol val="none"/>
          </c:marker>
          <c:cat>
            <c:numRef>
              <c:f>'Sprint 03 Burndown'!$B$2:$B$14</c:f>
              <c:numCache>
                <c:formatCode>m/d/yyyy</c:formatCode>
                <c:ptCount val="13"/>
                <c:pt idx="0">
                  <c:v>46272</c:v>
                </c:pt>
                <c:pt idx="1">
                  <c:v>46273</c:v>
                </c:pt>
                <c:pt idx="2">
                  <c:v>46274</c:v>
                </c:pt>
                <c:pt idx="3">
                  <c:v>46275</c:v>
                </c:pt>
                <c:pt idx="4">
                  <c:v>46276</c:v>
                </c:pt>
                <c:pt idx="5">
                  <c:v>46279</c:v>
                </c:pt>
                <c:pt idx="6">
                  <c:v>46280</c:v>
                </c:pt>
                <c:pt idx="7">
                  <c:v>46281</c:v>
                </c:pt>
                <c:pt idx="8">
                  <c:v>46282</c:v>
                </c:pt>
                <c:pt idx="9">
                  <c:v>46283</c:v>
                </c:pt>
                <c:pt idx="10">
                  <c:v>46286</c:v>
                </c:pt>
                <c:pt idx="11">
                  <c:v>46287</c:v>
                </c:pt>
                <c:pt idx="12">
                  <c:v>46288</c:v>
                </c:pt>
              </c:numCache>
            </c:numRef>
          </c:cat>
          <c:val>
            <c:numRef>
              <c:f>'Sprint 03 Burndown'!$C$2:$C$14</c:f>
              <c:numCache>
                <c:formatCode>General</c:formatCode>
                <c:ptCount val="13"/>
                <c:pt idx="0">
                  <c:v>52</c:v>
                </c:pt>
                <c:pt idx="1">
                  <c:v>52</c:v>
                </c:pt>
                <c:pt idx="2">
                  <c:v>52</c:v>
                </c:pt>
                <c:pt idx="3">
                  <c:v>39</c:v>
                </c:pt>
                <c:pt idx="4">
                  <c:v>26</c:v>
                </c:pt>
                <c:pt idx="5">
                  <c:v>26</c:v>
                </c:pt>
                <c:pt idx="6">
                  <c:v>26</c:v>
                </c:pt>
                <c:pt idx="7">
                  <c:v>26</c:v>
                </c:pt>
                <c:pt idx="8">
                  <c:v>21</c:v>
                </c:pt>
                <c:pt idx="9">
                  <c:v>16</c:v>
                </c:pt>
                <c:pt idx="10">
                  <c:v>8</c:v>
                </c:pt>
                <c:pt idx="11">
                  <c:v>8</c:v>
                </c:pt>
                <c:pt idx="12">
                  <c:v>0</c:v>
                </c:pt>
              </c:numCache>
            </c:numRef>
          </c:val>
          <c:smooth val="0"/>
          <c:extLst>
            <c:ext xmlns:c16="http://schemas.microsoft.com/office/drawing/2014/chart" uri="{C3380CC4-5D6E-409C-BE32-E72D297353CC}">
              <c16:uniqueId val="{00000000-8691-4B22-8ED6-2D07F6CFB302}"/>
            </c:ext>
          </c:extLst>
        </c:ser>
        <c:ser>
          <c:idx val="1"/>
          <c:order val="1"/>
          <c:tx>
            <c:strRef>
              <c:f>'Sprint 03 Burndown'!$D$1</c:f>
              <c:strCache>
                <c:ptCount val="1"/>
                <c:pt idx="0">
                  <c:v>Expected Story Points Left</c:v>
                </c:pt>
              </c:strCache>
            </c:strRef>
          </c:tx>
          <c:spPr>
            <a:ln w="28575" cap="rnd">
              <a:solidFill>
                <a:schemeClr val="accent2"/>
              </a:solidFill>
              <a:round/>
            </a:ln>
            <a:effectLst/>
          </c:spPr>
          <c:marker>
            <c:symbol val="none"/>
          </c:marker>
          <c:cat>
            <c:numRef>
              <c:f>'Sprint 03 Burndown'!$B$2:$B$14</c:f>
              <c:numCache>
                <c:formatCode>m/d/yyyy</c:formatCode>
                <c:ptCount val="13"/>
                <c:pt idx="0">
                  <c:v>46272</c:v>
                </c:pt>
                <c:pt idx="1">
                  <c:v>46273</c:v>
                </c:pt>
                <c:pt idx="2">
                  <c:v>46274</c:v>
                </c:pt>
                <c:pt idx="3">
                  <c:v>46275</c:v>
                </c:pt>
                <c:pt idx="4">
                  <c:v>46276</c:v>
                </c:pt>
                <c:pt idx="5">
                  <c:v>46279</c:v>
                </c:pt>
                <c:pt idx="6">
                  <c:v>46280</c:v>
                </c:pt>
                <c:pt idx="7">
                  <c:v>46281</c:v>
                </c:pt>
                <c:pt idx="8">
                  <c:v>46282</c:v>
                </c:pt>
                <c:pt idx="9">
                  <c:v>46283</c:v>
                </c:pt>
                <c:pt idx="10">
                  <c:v>46286</c:v>
                </c:pt>
                <c:pt idx="11">
                  <c:v>46287</c:v>
                </c:pt>
                <c:pt idx="12">
                  <c:v>46288</c:v>
                </c:pt>
              </c:numCache>
            </c:numRef>
          </c:cat>
          <c:val>
            <c:numRef>
              <c:f>'Sprint 03 Burndown'!$D$2:$D$14</c:f>
              <c:numCache>
                <c:formatCode>General</c:formatCode>
                <c:ptCount val="13"/>
                <c:pt idx="0">
                  <c:v>52</c:v>
                </c:pt>
                <c:pt idx="1">
                  <c:v>47.666666666666664</c:v>
                </c:pt>
                <c:pt idx="2">
                  <c:v>43.333333333333336</c:v>
                </c:pt>
                <c:pt idx="3">
                  <c:v>39</c:v>
                </c:pt>
                <c:pt idx="4">
                  <c:v>34.666666666666671</c:v>
                </c:pt>
                <c:pt idx="5">
                  <c:v>30.333333333333329</c:v>
                </c:pt>
                <c:pt idx="6">
                  <c:v>26</c:v>
                </c:pt>
                <c:pt idx="7">
                  <c:v>21.666666666666664</c:v>
                </c:pt>
                <c:pt idx="8">
                  <c:v>17.333333333333336</c:v>
                </c:pt>
                <c:pt idx="9">
                  <c:v>13</c:v>
                </c:pt>
                <c:pt idx="10">
                  <c:v>8.6666666666666643</c:v>
                </c:pt>
                <c:pt idx="11">
                  <c:v>4.3333333333333357</c:v>
                </c:pt>
                <c:pt idx="12">
                  <c:v>0</c:v>
                </c:pt>
              </c:numCache>
            </c:numRef>
          </c:val>
          <c:smooth val="0"/>
          <c:extLst>
            <c:ext xmlns:c16="http://schemas.microsoft.com/office/drawing/2014/chart" uri="{C3380CC4-5D6E-409C-BE32-E72D297353CC}">
              <c16:uniqueId val="{00000001-8691-4B22-8ED6-2D07F6CFB302}"/>
            </c:ext>
          </c:extLst>
        </c:ser>
        <c:dLbls>
          <c:showLegendKey val="0"/>
          <c:showVal val="0"/>
          <c:showCatName val="0"/>
          <c:showSerName val="0"/>
          <c:showPercent val="0"/>
          <c:showBubbleSize val="0"/>
        </c:dLbls>
        <c:smooth val="0"/>
        <c:axId val="1501547104"/>
        <c:axId val="1501322672"/>
      </c:lineChart>
      <c:catAx>
        <c:axId val="1501547104"/>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322672"/>
        <c:crosses val="autoZero"/>
        <c:auto val="0"/>
        <c:lblAlgn val="ctr"/>
        <c:lblOffset val="100"/>
        <c:noMultiLvlLbl val="0"/>
      </c:catAx>
      <c:valAx>
        <c:axId val="150132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547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167640</xdr:colOff>
      <xdr:row>0</xdr:row>
      <xdr:rowOff>182880</xdr:rowOff>
    </xdr:from>
    <xdr:to>
      <xdr:col>21</xdr:col>
      <xdr:colOff>36990</xdr:colOff>
      <xdr:row>20</xdr:row>
      <xdr:rowOff>7398</xdr:rowOff>
    </xdr:to>
    <xdr:graphicFrame macro="">
      <xdr:nvGraphicFramePr>
        <xdr:cNvPr id="5" name="Chart 4">
          <a:extLst>
            <a:ext uri="{FF2B5EF4-FFF2-40B4-BE49-F238E27FC236}">
              <a16:creationId xmlns:a16="http://schemas.microsoft.com/office/drawing/2014/main" id="{A4606402-996D-6CA4-C8E9-5276D0F88F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213360</xdr:colOff>
      <xdr:row>0</xdr:row>
      <xdr:rowOff>167640</xdr:rowOff>
    </xdr:from>
    <xdr:to>
      <xdr:col>20</xdr:col>
      <xdr:colOff>350520</xdr:colOff>
      <xdr:row>22</xdr:row>
      <xdr:rowOff>45720</xdr:rowOff>
    </xdr:to>
    <xdr:graphicFrame macro="">
      <xdr:nvGraphicFramePr>
        <xdr:cNvPr id="3" name="Chart 2">
          <a:extLst>
            <a:ext uri="{FF2B5EF4-FFF2-40B4-BE49-F238E27FC236}">
              <a16:creationId xmlns:a16="http://schemas.microsoft.com/office/drawing/2014/main" id="{993740FE-4084-53D2-EA28-52B7CE8F4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213360</xdr:colOff>
      <xdr:row>0</xdr:row>
      <xdr:rowOff>167640</xdr:rowOff>
    </xdr:from>
    <xdr:to>
      <xdr:col>20</xdr:col>
      <xdr:colOff>350520</xdr:colOff>
      <xdr:row>22</xdr:row>
      <xdr:rowOff>45720</xdr:rowOff>
    </xdr:to>
    <xdr:graphicFrame macro="">
      <xdr:nvGraphicFramePr>
        <xdr:cNvPr id="2" name="Chart 1">
          <a:extLst>
            <a:ext uri="{FF2B5EF4-FFF2-40B4-BE49-F238E27FC236}">
              <a16:creationId xmlns:a16="http://schemas.microsoft.com/office/drawing/2014/main" id="{F917FB92-B93B-42CC-81A6-86FDC094B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2"/>
  <sheetViews>
    <sheetView zoomScale="71" zoomScaleNormal="82" workbookViewId="0">
      <pane ySplit="1" topLeftCell="A2" activePane="bottomLeft" state="frozen"/>
      <selection pane="bottomLeft" activeCell="R3" sqref="R3"/>
    </sheetView>
  </sheetViews>
  <sheetFormatPr defaultColWidth="8.88671875" defaultRowHeight="14.4" x14ac:dyDescent="0.3"/>
  <cols>
    <col min="1" max="1" width="6.88671875" style="10" customWidth="1"/>
    <col min="2" max="2" width="14.33203125" style="10" customWidth="1"/>
    <col min="3" max="3" width="13.21875" style="10" bestFit="1" customWidth="1"/>
    <col min="4" max="4" width="17.6640625" style="10" bestFit="1" customWidth="1"/>
    <col min="5" max="5" width="13.5546875" style="10" bestFit="1" customWidth="1"/>
    <col min="6" max="6" width="52.6640625" style="11" customWidth="1"/>
    <col min="7" max="7" width="12.109375" style="10" bestFit="1" customWidth="1"/>
    <col min="8" max="8" width="12.88671875" style="10" bestFit="1" customWidth="1"/>
    <col min="9" max="9" width="11.33203125" style="10" bestFit="1" customWidth="1"/>
    <col min="10" max="10" width="6.77734375" style="10" bestFit="1" customWidth="1"/>
    <col min="11" max="11" width="15.5546875" style="10" bestFit="1" customWidth="1"/>
    <col min="12" max="12" width="10.44140625" style="10" bestFit="1" customWidth="1"/>
    <col min="13" max="16384" width="8.88671875" style="10"/>
  </cols>
  <sheetData>
    <row r="1" spans="1:12" s="9" customFormat="1" ht="30" customHeight="1" x14ac:dyDescent="0.3">
      <c r="A1" s="4" t="s">
        <v>11</v>
      </c>
      <c r="B1" s="4" t="s">
        <v>0</v>
      </c>
      <c r="C1" s="4" t="s">
        <v>1</v>
      </c>
      <c r="D1" s="4" t="s">
        <v>2</v>
      </c>
      <c r="E1" s="4" t="s">
        <v>10</v>
      </c>
      <c r="F1" s="4" t="s">
        <v>3</v>
      </c>
      <c r="G1" s="4" t="s">
        <v>4</v>
      </c>
      <c r="H1" s="4" t="s">
        <v>8</v>
      </c>
      <c r="I1" s="4" t="s">
        <v>9</v>
      </c>
      <c r="J1" s="4" t="s">
        <v>5</v>
      </c>
      <c r="K1" s="4" t="s">
        <v>6</v>
      </c>
      <c r="L1" s="4" t="s">
        <v>7</v>
      </c>
    </row>
    <row r="2" spans="1:12" ht="49.2" customHeight="1" x14ac:dyDescent="0.3">
      <c r="A2" s="6">
        <v>1</v>
      </c>
      <c r="B2" s="6" t="s">
        <v>26</v>
      </c>
      <c r="C2" s="6">
        <v>0.1</v>
      </c>
      <c r="D2" s="6" t="s">
        <v>33</v>
      </c>
      <c r="E2" s="6" t="s">
        <v>16</v>
      </c>
      <c r="F2" s="8" t="s">
        <v>17</v>
      </c>
      <c r="G2" s="6" t="s">
        <v>18</v>
      </c>
      <c r="H2" s="6" t="s">
        <v>19</v>
      </c>
      <c r="I2" s="6" cm="1">
        <f t="array" ref="I2">_xlfn.SWITCH(H2,"XS",1,"S",2,"M",3,"L",5,"XL",8,"XXL",13,"XXXL",21,"")</f>
        <v>1</v>
      </c>
      <c r="J2" s="6" t="s">
        <v>75</v>
      </c>
      <c r="K2" s="6"/>
      <c r="L2" s="6"/>
    </row>
    <row r="3" spans="1:12" ht="408.6" customHeight="1" x14ac:dyDescent="0.3">
      <c r="A3" s="6">
        <v>2</v>
      </c>
      <c r="B3" s="6" t="s">
        <v>25</v>
      </c>
      <c r="C3" s="6">
        <v>1.1000000000000001</v>
      </c>
      <c r="D3" s="6" t="s">
        <v>32</v>
      </c>
      <c r="E3" s="6" t="s">
        <v>20</v>
      </c>
      <c r="F3" s="8" t="s">
        <v>38</v>
      </c>
      <c r="G3" s="6" t="s">
        <v>21</v>
      </c>
      <c r="H3" s="6" t="s">
        <v>23</v>
      </c>
      <c r="I3" s="6" cm="1">
        <f t="array" ref="I3">_xlfn.SWITCH(H3,"XS",1,"S",2,"M",3,"L",5,"XL",8,"XXL",13,"XXXL",21,"")</f>
        <v>2</v>
      </c>
      <c r="J3" s="6" t="s">
        <v>75</v>
      </c>
      <c r="K3" s="6"/>
      <c r="L3" s="6"/>
    </row>
    <row r="4" spans="1:12" ht="408.6" customHeight="1" x14ac:dyDescent="0.3">
      <c r="A4" s="6">
        <v>3</v>
      </c>
      <c r="B4" s="6" t="s">
        <v>25</v>
      </c>
      <c r="C4" s="6" t="s">
        <v>43</v>
      </c>
      <c r="D4" s="6" t="s">
        <v>34</v>
      </c>
      <c r="E4" s="6" t="s">
        <v>22</v>
      </c>
      <c r="F4" s="8" t="s">
        <v>69</v>
      </c>
      <c r="G4" s="6" t="s">
        <v>24</v>
      </c>
      <c r="H4" s="6" t="s">
        <v>19</v>
      </c>
      <c r="I4" s="6" cm="1">
        <f t="array" ref="I4">_xlfn.SWITCH(H4,"XS",1,"S",2,"M",3,"L",5,"XL",8,"XXL",13,"XXXL",21,"")</f>
        <v>1</v>
      </c>
      <c r="J4" s="6" t="s">
        <v>75</v>
      </c>
      <c r="K4" s="6"/>
      <c r="L4" s="6"/>
    </row>
    <row r="5" spans="1:12" ht="408.6" customHeight="1" x14ac:dyDescent="0.3">
      <c r="A5" s="6">
        <v>4</v>
      </c>
      <c r="B5" s="6" t="s">
        <v>25</v>
      </c>
      <c r="C5" s="6" t="s">
        <v>43</v>
      </c>
      <c r="D5" s="6" t="s">
        <v>35</v>
      </c>
      <c r="E5" s="6" t="s">
        <v>22</v>
      </c>
      <c r="F5" s="8" t="s">
        <v>70</v>
      </c>
      <c r="G5" s="6" t="s">
        <v>24</v>
      </c>
      <c r="H5" s="6" t="s">
        <v>30</v>
      </c>
      <c r="I5" s="6" cm="1">
        <f t="array" ref="I5">_xlfn.SWITCH(H5,"XS",1,"S",2,"M",3,"L",5,"XL",8,"XXL",13,"XXXL",21,"")</f>
        <v>5</v>
      </c>
      <c r="J5" s="6" t="s">
        <v>75</v>
      </c>
      <c r="K5" s="6"/>
      <c r="L5" s="6"/>
    </row>
    <row r="6" spans="1:12" ht="409.6" x14ac:dyDescent="0.3">
      <c r="A6" s="6">
        <v>5</v>
      </c>
      <c r="B6" s="6"/>
      <c r="C6" s="6">
        <v>1.6</v>
      </c>
      <c r="D6" s="6"/>
      <c r="E6" s="6" t="s">
        <v>22</v>
      </c>
      <c r="F6" s="8" t="s">
        <v>71</v>
      </c>
      <c r="G6" s="6" t="s">
        <v>24</v>
      </c>
      <c r="H6" s="6" t="s">
        <v>30</v>
      </c>
      <c r="I6" s="6" cm="1">
        <f t="array" ref="I6">_xlfn.SWITCH(H6,"XS",1,"S",2,"M",3,"L",5,"XL",8,"XXL",13,"XXXL",21,"")</f>
        <v>5</v>
      </c>
      <c r="J6" s="6" t="s">
        <v>75</v>
      </c>
      <c r="K6" s="6"/>
      <c r="L6" s="6"/>
    </row>
    <row r="7" spans="1:12" ht="272.39999999999998" customHeight="1" x14ac:dyDescent="0.3">
      <c r="A7" s="6">
        <v>6</v>
      </c>
      <c r="B7" s="6" t="s">
        <v>25</v>
      </c>
      <c r="C7" s="6" t="s">
        <v>42</v>
      </c>
      <c r="D7" s="6" t="s">
        <v>36</v>
      </c>
      <c r="E7" s="6" t="s">
        <v>31</v>
      </c>
      <c r="F7" s="8" t="s">
        <v>44</v>
      </c>
      <c r="G7" s="6" t="s">
        <v>29</v>
      </c>
      <c r="H7" s="6" t="s">
        <v>27</v>
      </c>
      <c r="I7" s="6" cm="1">
        <f t="array" ref="I7">_xlfn.SWITCH(H7,"XS",1,"S",2,"M",3,"L",5,"XL",8,"XXL",13,"XXXL",21,"")</f>
        <v>3</v>
      </c>
      <c r="J7" s="6" t="s">
        <v>75</v>
      </c>
      <c r="K7" s="6"/>
      <c r="L7" s="6"/>
    </row>
    <row r="8" spans="1:12" ht="409.6" x14ac:dyDescent="0.3">
      <c r="A8" s="6">
        <v>7</v>
      </c>
      <c r="B8" s="6" t="s">
        <v>25</v>
      </c>
      <c r="C8" s="6" t="s">
        <v>41</v>
      </c>
      <c r="D8" s="6" t="s">
        <v>63</v>
      </c>
      <c r="E8" s="6" t="s">
        <v>20</v>
      </c>
      <c r="F8" s="8" t="s">
        <v>45</v>
      </c>
      <c r="G8" s="6" t="s">
        <v>24</v>
      </c>
      <c r="H8" s="6" t="s">
        <v>27</v>
      </c>
      <c r="I8" s="6" cm="1">
        <f t="array" ref="I8">_xlfn.SWITCH(H8,"XS",1,"S",2,"M",3,"L",5,"XL",8,"XXL",13,"XXXL",21,"")</f>
        <v>3</v>
      </c>
      <c r="J8" s="6" t="s">
        <v>75</v>
      </c>
      <c r="K8" s="6"/>
      <c r="L8" s="6"/>
    </row>
    <row r="9" spans="1:12" ht="409.6" x14ac:dyDescent="0.3">
      <c r="A9" s="6">
        <v>8</v>
      </c>
      <c r="B9" s="6" t="s">
        <v>25</v>
      </c>
      <c r="C9" s="6" t="s">
        <v>40</v>
      </c>
      <c r="D9" s="6" t="s">
        <v>28</v>
      </c>
      <c r="E9" s="6" t="s">
        <v>20</v>
      </c>
      <c r="F9" s="8" t="s">
        <v>68</v>
      </c>
      <c r="G9" s="6" t="s">
        <v>29</v>
      </c>
      <c r="H9" s="6" t="s">
        <v>23</v>
      </c>
      <c r="I9" s="6" cm="1">
        <f t="array" ref="I9">_xlfn.SWITCH(H9,"XS",1,"S",2,"M",3,"L",5,"XL",8,"XXL",13,"XXXL",21,"")</f>
        <v>2</v>
      </c>
      <c r="J9" s="6" t="s">
        <v>75</v>
      </c>
      <c r="K9" s="6"/>
      <c r="L9" s="6"/>
    </row>
    <row r="10" spans="1:12" ht="396" customHeight="1" x14ac:dyDescent="0.3">
      <c r="A10" s="6">
        <v>9</v>
      </c>
      <c r="B10" s="6" t="s">
        <v>25</v>
      </c>
      <c r="C10" s="6" t="s">
        <v>39</v>
      </c>
      <c r="D10" s="6" t="s">
        <v>28</v>
      </c>
      <c r="E10" s="6" t="s">
        <v>20</v>
      </c>
      <c r="F10" s="8" t="s">
        <v>46</v>
      </c>
      <c r="G10" s="6" t="s">
        <v>29</v>
      </c>
      <c r="H10" s="6" t="s">
        <v>27</v>
      </c>
      <c r="I10" s="6" cm="1">
        <f t="array" ref="I10">_xlfn.SWITCH(H10,"XS",1,"S",2,"M",3,"L",5,"XL",8,"XXL",13,"XXXL",21,"")</f>
        <v>3</v>
      </c>
      <c r="J10" s="6" t="s">
        <v>75</v>
      </c>
      <c r="K10" s="6"/>
      <c r="L10" s="6"/>
    </row>
    <row r="11" spans="1:12" ht="409.6" x14ac:dyDescent="0.3">
      <c r="A11" s="6">
        <v>10</v>
      </c>
      <c r="B11" s="6" t="s">
        <v>25</v>
      </c>
      <c r="C11" s="6" t="s">
        <v>47</v>
      </c>
      <c r="D11" s="6" t="s">
        <v>37</v>
      </c>
      <c r="E11" s="6" t="s">
        <v>20</v>
      </c>
      <c r="F11" s="8" t="s">
        <v>48</v>
      </c>
      <c r="G11" s="6" t="s">
        <v>29</v>
      </c>
      <c r="H11" s="6" t="s">
        <v>30</v>
      </c>
      <c r="I11" s="6" cm="1">
        <f t="array" ref="I11">_xlfn.SWITCH(H11,"XS",1,"S",2,"M",3,"L",5,"XL",8,"XXL",13,"XXXL",21,"")</f>
        <v>5</v>
      </c>
      <c r="J11" s="6" t="s">
        <v>75</v>
      </c>
      <c r="K11" s="6"/>
      <c r="L11" s="6"/>
    </row>
    <row r="12" spans="1:12" ht="408.6" customHeight="1" x14ac:dyDescent="0.3">
      <c r="A12" s="6">
        <v>11</v>
      </c>
      <c r="B12" s="6"/>
      <c r="C12" s="6" t="s">
        <v>49</v>
      </c>
      <c r="D12" s="6"/>
      <c r="E12" s="6" t="s">
        <v>20</v>
      </c>
      <c r="F12" s="8" t="s">
        <v>64</v>
      </c>
      <c r="G12" s="6" t="s">
        <v>21</v>
      </c>
      <c r="H12" s="6" t="s">
        <v>27</v>
      </c>
      <c r="I12" s="6" cm="1">
        <f t="array" ref="I12">_xlfn.SWITCH(H12,"XS",1,"S",2,"M",3,"L",5,"XL",8,"XXL",13,"XXXL",21,"")</f>
        <v>3</v>
      </c>
      <c r="J12" s="6" t="s">
        <v>75</v>
      </c>
      <c r="K12" s="6"/>
      <c r="L12" s="6"/>
    </row>
    <row r="13" spans="1:12" ht="302.39999999999998" x14ac:dyDescent="0.3">
      <c r="A13" s="6">
        <v>12</v>
      </c>
      <c r="B13" s="6"/>
      <c r="C13" s="6">
        <v>1.8</v>
      </c>
      <c r="D13" s="6"/>
      <c r="E13" s="6" t="s">
        <v>20</v>
      </c>
      <c r="F13" s="8" t="s">
        <v>50</v>
      </c>
      <c r="G13" s="6" t="s">
        <v>29</v>
      </c>
      <c r="H13" s="6" t="s">
        <v>23</v>
      </c>
      <c r="I13" s="6" cm="1">
        <f t="array" ref="I13">_xlfn.SWITCH(H13,"XS",1,"S",2,"M",3,"L",5,"XL",8,"XXL",13,"XXXL",21,"")</f>
        <v>2</v>
      </c>
      <c r="J13" s="6" t="s">
        <v>75</v>
      </c>
      <c r="K13" s="6"/>
      <c r="L13" s="6"/>
    </row>
    <row r="14" spans="1:12" ht="409.6" x14ac:dyDescent="0.3">
      <c r="A14" s="6">
        <v>13</v>
      </c>
      <c r="B14" s="6"/>
      <c r="C14" s="6" t="s">
        <v>52</v>
      </c>
      <c r="D14" s="6" t="s">
        <v>36</v>
      </c>
      <c r="E14" s="6" t="s">
        <v>31</v>
      </c>
      <c r="F14" s="8" t="s">
        <v>51</v>
      </c>
      <c r="G14" s="6" t="s">
        <v>29</v>
      </c>
      <c r="H14" s="6" t="s">
        <v>30</v>
      </c>
      <c r="I14" s="6" cm="1">
        <f t="array" ref="I14">_xlfn.SWITCH(H14,"XS",1,"S",2,"M",3,"L",5,"XL",8,"XXL",13,"XXXL",21,"")</f>
        <v>5</v>
      </c>
      <c r="J14" s="6" t="s">
        <v>75</v>
      </c>
      <c r="K14" s="6"/>
      <c r="L14" s="6"/>
    </row>
    <row r="15" spans="1:12" ht="409.6" x14ac:dyDescent="0.3">
      <c r="A15" s="6">
        <v>14</v>
      </c>
      <c r="B15" s="6"/>
      <c r="C15" s="6"/>
      <c r="D15" s="6" t="s">
        <v>54</v>
      </c>
      <c r="E15" s="6" t="s">
        <v>22</v>
      </c>
      <c r="F15" s="8" t="s">
        <v>72</v>
      </c>
      <c r="G15" s="6" t="s">
        <v>24</v>
      </c>
      <c r="H15" s="6" t="s">
        <v>27</v>
      </c>
      <c r="I15" s="6" cm="1">
        <f t="array" ref="I15">_xlfn.SWITCH(H15,"XS",1,"S",2,"M",3,"L",5,"XL",8,"XXL",13,"XXXL",21,"")</f>
        <v>3</v>
      </c>
      <c r="J15" s="6" t="s">
        <v>75</v>
      </c>
      <c r="K15" s="6" t="s">
        <v>61</v>
      </c>
      <c r="L15" s="6"/>
    </row>
    <row r="16" spans="1:12" ht="409.6" x14ac:dyDescent="0.3">
      <c r="A16" s="6">
        <v>15</v>
      </c>
      <c r="B16" s="6"/>
      <c r="C16" s="6"/>
      <c r="D16" s="6" t="s">
        <v>53</v>
      </c>
      <c r="E16" s="6" t="s">
        <v>22</v>
      </c>
      <c r="F16" s="8" t="s">
        <v>73</v>
      </c>
      <c r="G16" s="6" t="s">
        <v>24</v>
      </c>
      <c r="H16" s="6" t="s">
        <v>30</v>
      </c>
      <c r="I16" s="6" cm="1">
        <f t="array" ref="I16">_xlfn.SWITCH(H16,"XS",1,"S",2,"M",3,"L",5,"XL",8,"XXL",13,"XXXL",21,"")</f>
        <v>5</v>
      </c>
      <c r="J16" s="6" t="s">
        <v>75</v>
      </c>
      <c r="K16" s="6" t="s">
        <v>61</v>
      </c>
      <c r="L16" s="6"/>
    </row>
    <row r="17" spans="1:12" ht="409.6" x14ac:dyDescent="0.3">
      <c r="A17" s="6">
        <v>16</v>
      </c>
      <c r="B17" s="6"/>
      <c r="C17" s="6">
        <v>18.5</v>
      </c>
      <c r="D17" s="6"/>
      <c r="E17" s="6" t="s">
        <v>22</v>
      </c>
      <c r="F17" s="8" t="s">
        <v>74</v>
      </c>
      <c r="G17" s="6" t="s">
        <v>24</v>
      </c>
      <c r="H17" s="6" t="s">
        <v>30</v>
      </c>
      <c r="I17" s="6" cm="1">
        <f t="array" ref="I17">_xlfn.SWITCH(H17,"XS",1,"S",2,"M",3,"L",5,"XL",8,"XXL",13,"XXXL",21,"")</f>
        <v>5</v>
      </c>
      <c r="J17" s="6" t="s">
        <v>75</v>
      </c>
      <c r="K17" s="6" t="s">
        <v>61</v>
      </c>
      <c r="L17" s="6"/>
    </row>
    <row r="18" spans="1:12" ht="315.60000000000002" customHeight="1" x14ac:dyDescent="0.3">
      <c r="A18" s="6">
        <v>17</v>
      </c>
      <c r="B18" s="6"/>
      <c r="C18" s="6" t="s">
        <v>54</v>
      </c>
      <c r="D18" s="6"/>
      <c r="E18" s="6" t="s">
        <v>31</v>
      </c>
      <c r="F18" s="8" t="s">
        <v>55</v>
      </c>
      <c r="G18" s="6" t="s">
        <v>29</v>
      </c>
      <c r="H18" s="6" t="s">
        <v>27</v>
      </c>
      <c r="I18" s="6" cm="1">
        <f t="array" ref="I18">_xlfn.SWITCH(H18,"XS",1,"S",2,"M",3,"L",5,"XL",8,"XXL",13,"XXXL",21,"")</f>
        <v>3</v>
      </c>
      <c r="J18" s="6" t="s">
        <v>75</v>
      </c>
      <c r="K18" s="6"/>
      <c r="L18" s="6"/>
    </row>
    <row r="19" spans="1:12" ht="383.4" customHeight="1" x14ac:dyDescent="0.3">
      <c r="A19" s="6">
        <v>18</v>
      </c>
      <c r="B19" s="6"/>
      <c r="C19" s="6">
        <v>18.100000000000001</v>
      </c>
      <c r="D19" s="6"/>
      <c r="E19" s="6" t="s">
        <v>20</v>
      </c>
      <c r="F19" s="8" t="s">
        <v>56</v>
      </c>
      <c r="G19" s="6" t="s">
        <v>21</v>
      </c>
      <c r="H19" s="6" t="s">
        <v>23</v>
      </c>
      <c r="I19" s="6" cm="1">
        <f t="array" ref="I19">_xlfn.SWITCH(H19,"XS",1,"S",2,"M",3,"L",5,"XL",8,"XXL",13,"XXXL",21,"")</f>
        <v>2</v>
      </c>
      <c r="J19" s="6" t="s">
        <v>75</v>
      </c>
      <c r="K19" s="6"/>
      <c r="L19" s="6"/>
    </row>
    <row r="20" spans="1:12" ht="409.6" x14ac:dyDescent="0.3">
      <c r="A20" s="6">
        <v>19</v>
      </c>
      <c r="B20" s="6"/>
      <c r="C20" s="6">
        <v>18.2</v>
      </c>
      <c r="D20" s="6"/>
      <c r="E20" s="6" t="s">
        <v>20</v>
      </c>
      <c r="F20" s="8" t="s">
        <v>57</v>
      </c>
      <c r="G20" s="6" t="s">
        <v>21</v>
      </c>
      <c r="H20" s="6" t="s">
        <v>30</v>
      </c>
      <c r="I20" s="6" cm="1">
        <f t="array" ref="I20">_xlfn.SWITCH(H20,"XS",1,"S",2,"M",3,"L",5,"XL",8,"XXL",13,"XXXL",21,"")</f>
        <v>5</v>
      </c>
      <c r="J20" s="6" t="s">
        <v>75</v>
      </c>
      <c r="K20" s="6"/>
      <c r="L20" s="6"/>
    </row>
    <row r="21" spans="1:12" ht="360" x14ac:dyDescent="0.3">
      <c r="A21" s="6">
        <v>20</v>
      </c>
      <c r="B21" s="6"/>
      <c r="C21" s="6">
        <v>18.3</v>
      </c>
      <c r="D21" s="6"/>
      <c r="E21" s="6" t="s">
        <v>20</v>
      </c>
      <c r="F21" s="8" t="s">
        <v>60</v>
      </c>
      <c r="G21" s="6" t="s">
        <v>21</v>
      </c>
      <c r="H21" s="6" t="s">
        <v>27</v>
      </c>
      <c r="I21" s="6" cm="1">
        <f t="array" ref="I21">_xlfn.SWITCH(H21,"XS",1,"S",2,"M",3,"L",5,"XL",8,"XXL",13,"XXXL",21,"")</f>
        <v>3</v>
      </c>
      <c r="J21" s="6" t="s">
        <v>75</v>
      </c>
      <c r="K21" s="6"/>
      <c r="L21" s="6"/>
    </row>
    <row r="22" spans="1:12" ht="409.2" customHeight="1" x14ac:dyDescent="0.3">
      <c r="A22" s="6">
        <v>21</v>
      </c>
      <c r="B22" s="6"/>
      <c r="C22" s="6" t="s">
        <v>59</v>
      </c>
      <c r="D22" s="6"/>
      <c r="E22" s="6" t="s">
        <v>20</v>
      </c>
      <c r="F22" s="8" t="s">
        <v>65</v>
      </c>
      <c r="G22" s="6" t="s">
        <v>21</v>
      </c>
      <c r="H22" s="6" t="s">
        <v>27</v>
      </c>
      <c r="I22" s="6" cm="1">
        <f t="array" ref="I22">_xlfn.SWITCH(H22,"XS",1,"S",2,"M",3,"L",5,"XL",8,"XXL",13,"XXXL",21,"")</f>
        <v>3</v>
      </c>
      <c r="J22" s="6" t="s">
        <v>75</v>
      </c>
      <c r="K22" s="6"/>
      <c r="L22" s="6"/>
    </row>
    <row r="23" spans="1:12" ht="316.8" x14ac:dyDescent="0.3">
      <c r="A23" s="6">
        <v>22</v>
      </c>
      <c r="B23" s="6"/>
      <c r="C23" s="6">
        <v>18.399999999999999</v>
      </c>
      <c r="D23" s="6"/>
      <c r="E23" s="6" t="s">
        <v>20</v>
      </c>
      <c r="F23" s="8" t="s">
        <v>66</v>
      </c>
      <c r="G23" s="6" t="s">
        <v>21</v>
      </c>
      <c r="H23" s="6" t="s">
        <v>27</v>
      </c>
      <c r="I23" s="6" cm="1">
        <f t="array" ref="I23">_xlfn.SWITCH(H23,"XS",1,"S",2,"M",3,"L",5,"XL",8,"XXL",13,"XXXL",21,"")</f>
        <v>3</v>
      </c>
      <c r="J23" s="6" t="s">
        <v>75</v>
      </c>
      <c r="K23" s="6"/>
      <c r="L23" s="6"/>
    </row>
    <row r="24" spans="1:12" ht="403.2" x14ac:dyDescent="0.3">
      <c r="A24" s="6">
        <v>23</v>
      </c>
      <c r="B24" s="6"/>
      <c r="C24" s="6">
        <v>18.5</v>
      </c>
      <c r="D24" s="6"/>
      <c r="E24" s="6" t="s">
        <v>20</v>
      </c>
      <c r="F24" s="8" t="s">
        <v>67</v>
      </c>
      <c r="G24" s="6" t="s">
        <v>21</v>
      </c>
      <c r="H24" s="6" t="s">
        <v>30</v>
      </c>
      <c r="I24" s="6" cm="1">
        <f t="array" ref="I24">_xlfn.SWITCH(H24,"XS",1,"S",2,"M",3,"L",5,"XL",8,"XXL",13,"XXXL",21,"")</f>
        <v>5</v>
      </c>
      <c r="J24" s="6" t="s">
        <v>75</v>
      </c>
      <c r="K24" s="6"/>
      <c r="L24" s="6"/>
    </row>
    <row r="25" spans="1:12" ht="409.6" x14ac:dyDescent="0.3">
      <c r="A25" s="6">
        <v>24</v>
      </c>
      <c r="B25" s="6"/>
      <c r="C25" s="6" t="s">
        <v>54</v>
      </c>
      <c r="D25" s="6"/>
      <c r="E25" s="6" t="s">
        <v>31</v>
      </c>
      <c r="F25" s="8" t="s">
        <v>58</v>
      </c>
      <c r="G25" s="6" t="s">
        <v>29</v>
      </c>
      <c r="H25" s="6" t="s">
        <v>30</v>
      </c>
      <c r="I25" s="6" cm="1">
        <f t="array" ref="I25">_xlfn.SWITCH(H25,"XS",1,"S",2,"M",3,"L",5,"XL",8,"XXL",13,"XXXL",21,"")</f>
        <v>5</v>
      </c>
      <c r="J25" s="6" t="s">
        <v>75</v>
      </c>
      <c r="K25" s="6"/>
      <c r="L25" s="6"/>
    </row>
    <row r="26" spans="1:12" x14ac:dyDescent="0.3">
      <c r="A26" s="6"/>
      <c r="B26" s="6"/>
      <c r="C26" s="6"/>
      <c r="D26" s="6"/>
      <c r="E26" s="6"/>
      <c r="F26" s="8"/>
      <c r="G26" s="6"/>
      <c r="H26" s="6"/>
      <c r="I26" s="6" t="str" cm="1">
        <f t="array" ref="I26">_xlfn.SWITCH(H26,"XS",1,"S",2,"M",3,"L",5,"XL",8,"XXL",13,"XXXL",21,"")</f>
        <v/>
      </c>
      <c r="J26" s="6"/>
      <c r="K26" s="6"/>
      <c r="L26" s="6"/>
    </row>
    <row r="27" spans="1:12" x14ac:dyDescent="0.3">
      <c r="A27" s="6"/>
      <c r="B27" s="6"/>
      <c r="C27" s="6"/>
      <c r="D27" s="6"/>
      <c r="E27" s="6"/>
      <c r="F27" s="8"/>
      <c r="G27" s="6"/>
      <c r="H27" s="6"/>
      <c r="I27" s="6" t="str" cm="1">
        <f t="array" ref="I27">_xlfn.SWITCH(H27,"XS",1,"S",2,"M",3,"L",5,"XL",8,"XXL",13,"XXXL",21,"")</f>
        <v/>
      </c>
      <c r="J27" s="6"/>
      <c r="K27" s="6"/>
      <c r="L27" s="6"/>
    </row>
    <row r="28" spans="1:12" x14ac:dyDescent="0.3">
      <c r="A28" s="6"/>
      <c r="B28" s="6"/>
      <c r="C28" s="6"/>
      <c r="D28" s="6"/>
      <c r="E28" s="6"/>
      <c r="F28" s="8"/>
      <c r="G28" s="6"/>
      <c r="H28" s="6"/>
      <c r="I28" s="6" t="str" cm="1">
        <f t="array" ref="I28">_xlfn.SWITCH(H28,"XS",1,"S",2,"M",3,"L",5,"XL",8,"XXL",13,"XXXL",21,"")</f>
        <v/>
      </c>
      <c r="J28" s="6"/>
      <c r="K28" s="6"/>
      <c r="L28" s="6"/>
    </row>
    <row r="29" spans="1:12" x14ac:dyDescent="0.3">
      <c r="A29" s="6"/>
      <c r="B29" s="6"/>
      <c r="C29" s="6"/>
      <c r="D29" s="6"/>
      <c r="E29" s="6"/>
      <c r="F29" s="8"/>
      <c r="G29" s="6"/>
      <c r="H29" s="6"/>
      <c r="I29" s="6" t="str" cm="1">
        <f t="array" ref="I29">_xlfn.SWITCH(H29,"XS",1,"S",2,"M",3,"L",5,"XL",8,"XXL",13,"XXXL",21,"")</f>
        <v/>
      </c>
      <c r="J29" s="6"/>
      <c r="K29" s="6"/>
      <c r="L29" s="6"/>
    </row>
    <row r="30" spans="1:12" x14ac:dyDescent="0.3">
      <c r="A30" s="6"/>
      <c r="B30" s="6"/>
      <c r="C30" s="6"/>
      <c r="D30" s="6"/>
      <c r="E30" s="6"/>
      <c r="F30" s="8"/>
      <c r="G30" s="6"/>
      <c r="H30" s="6"/>
      <c r="I30" s="6" t="str" cm="1">
        <f t="array" ref="I30">_xlfn.SWITCH(H30,"XS",1,"S",2,"M",3,"L",5,"XL",8,"XXL",13,"XXXL",21,"")</f>
        <v/>
      </c>
      <c r="J30" s="6"/>
      <c r="K30" s="6"/>
      <c r="L30" s="6"/>
    </row>
    <row r="31" spans="1:12" x14ac:dyDescent="0.3">
      <c r="A31" s="6"/>
      <c r="B31" s="6"/>
      <c r="C31" s="6"/>
      <c r="D31" s="6"/>
      <c r="E31" s="6"/>
      <c r="F31" s="8"/>
      <c r="G31" s="6"/>
      <c r="H31" s="6"/>
      <c r="I31" s="6" t="str" cm="1">
        <f t="array" ref="I31">_xlfn.SWITCH(H31,"XS",1,"S",2,"M",3,"L",5,"XL",8,"XXL",13,"XXXL",21,"")</f>
        <v/>
      </c>
      <c r="J31" s="6"/>
      <c r="K31" s="6"/>
      <c r="L31" s="6"/>
    </row>
    <row r="32" spans="1:12" x14ac:dyDescent="0.3">
      <c r="A32" s="6"/>
      <c r="B32" s="6"/>
      <c r="C32" s="6"/>
      <c r="D32" s="6"/>
      <c r="E32" s="6"/>
      <c r="F32" s="8"/>
      <c r="G32" s="6"/>
      <c r="H32" s="6"/>
      <c r="I32" s="6" t="str" cm="1">
        <f t="array" ref="I32">_xlfn.SWITCH(H32,"XS",1,"S",2,"M",3,"L",5,"XL",8,"XXL",13,"XXXL",21,"")</f>
        <v/>
      </c>
      <c r="J32" s="6"/>
      <c r="K32" s="6"/>
      <c r="L32" s="6"/>
    </row>
    <row r="33" spans="1:12" x14ac:dyDescent="0.3">
      <c r="A33" s="6"/>
      <c r="B33" s="6"/>
      <c r="C33" s="6"/>
      <c r="D33" s="6"/>
      <c r="E33" s="6"/>
      <c r="F33" s="5"/>
      <c r="G33" s="6"/>
      <c r="H33" s="6"/>
      <c r="I33" s="6" t="str" cm="1">
        <f t="array" ref="I33">_xlfn.SWITCH(H33,"XS",1,"S",2,"M",3,"L",5,"XL",8,"XXL",13,"XXXL",21,"")</f>
        <v/>
      </c>
      <c r="J33" s="6"/>
      <c r="K33" s="6"/>
      <c r="L33" s="6"/>
    </row>
    <row r="34" spans="1:12" x14ac:dyDescent="0.3">
      <c r="A34" s="6"/>
      <c r="B34" s="6"/>
      <c r="C34" s="6"/>
      <c r="D34" s="6"/>
      <c r="E34" s="6"/>
      <c r="F34" s="7"/>
      <c r="G34" s="6"/>
      <c r="H34" s="6"/>
      <c r="I34" s="6" t="str" cm="1">
        <f t="array" ref="I34">_xlfn.SWITCH(H34,"XS",1,"S",2,"M",3,"L",5,"XL",8,"XXL",13,"XXXL",21,"")</f>
        <v/>
      </c>
      <c r="J34" s="6"/>
      <c r="K34" s="6"/>
      <c r="L34" s="6"/>
    </row>
    <row r="35" spans="1:12" x14ac:dyDescent="0.3">
      <c r="A35" s="6"/>
      <c r="B35" s="6"/>
      <c r="C35" s="6"/>
      <c r="D35" s="6"/>
      <c r="E35" s="6"/>
      <c r="F35" s="7"/>
      <c r="G35" s="6"/>
      <c r="H35" s="6"/>
      <c r="I35" s="6" t="str" cm="1">
        <f t="array" ref="I35">_xlfn.SWITCH(H35,"XS",1,"S",2,"M",3,"L",5,"XL",8,"XXL",13,"XXXL",21,"")</f>
        <v/>
      </c>
      <c r="J35" s="6"/>
      <c r="K35" s="6"/>
      <c r="L35" s="6"/>
    </row>
    <row r="36" spans="1:12" x14ac:dyDescent="0.3">
      <c r="A36" s="6"/>
      <c r="B36" s="6"/>
      <c r="C36" s="6"/>
      <c r="D36" s="6"/>
      <c r="E36" s="6"/>
      <c r="F36" s="7"/>
      <c r="G36" s="6"/>
      <c r="H36" s="6"/>
      <c r="I36" s="6" t="str" cm="1">
        <f t="array" ref="I36">_xlfn.SWITCH(H36,"XS",1,"S",2,"M",3,"L",5,"XL",8,"XXL",13,"XXXL",21,"")</f>
        <v/>
      </c>
      <c r="J36" s="6"/>
      <c r="K36" s="6"/>
      <c r="L36" s="6"/>
    </row>
    <row r="37" spans="1:12" x14ac:dyDescent="0.3">
      <c r="A37" s="6"/>
      <c r="B37" s="6"/>
      <c r="C37" s="6"/>
      <c r="D37" s="6"/>
      <c r="E37" s="6"/>
      <c r="F37" s="7"/>
      <c r="G37" s="6"/>
      <c r="H37" s="6"/>
      <c r="I37" s="6" t="str" cm="1">
        <f t="array" ref="I37">_xlfn.SWITCH(H37,"XS",1,"S",2,"M",3,"L",5,"XL",8,"XXL",13,"XXXL",21,"")</f>
        <v/>
      </c>
      <c r="J37" s="6"/>
      <c r="K37" s="6"/>
      <c r="L37" s="6"/>
    </row>
    <row r="38" spans="1:12" x14ac:dyDescent="0.3">
      <c r="A38" s="6"/>
      <c r="B38" s="6"/>
      <c r="C38" s="6"/>
      <c r="D38" s="6"/>
      <c r="E38" s="6"/>
      <c r="F38" s="7"/>
      <c r="G38" s="6"/>
      <c r="H38" s="6"/>
      <c r="I38" s="6" t="str" cm="1">
        <f t="array" ref="I38">_xlfn.SWITCH(H38,"XS",1,"S",2,"M",3,"L",5,"XL",8,"XXL",13,"XXXL",21,"")</f>
        <v/>
      </c>
      <c r="J38" s="6"/>
      <c r="K38" s="6"/>
      <c r="L38" s="6"/>
    </row>
    <row r="39" spans="1:12" x14ac:dyDescent="0.3">
      <c r="A39" s="6"/>
      <c r="B39" s="6"/>
      <c r="C39" s="6"/>
      <c r="D39" s="6"/>
      <c r="E39" s="6"/>
      <c r="F39" s="7"/>
      <c r="G39" s="6"/>
      <c r="H39" s="6"/>
      <c r="I39" s="6" t="str" cm="1">
        <f t="array" ref="I39">_xlfn.SWITCH(H39,"XS",1,"S",2,"M",3,"L",5,"XL",8,"XXL",13,"XXXL",21,"")</f>
        <v/>
      </c>
      <c r="J39" s="6"/>
      <c r="K39" s="6"/>
      <c r="L39" s="6"/>
    </row>
    <row r="40" spans="1:12" x14ac:dyDescent="0.3">
      <c r="A40" s="6"/>
      <c r="B40" s="6"/>
      <c r="C40" s="6"/>
      <c r="D40" s="6"/>
      <c r="E40" s="6"/>
      <c r="F40" s="7"/>
      <c r="G40" s="6"/>
      <c r="H40" s="6"/>
      <c r="I40" s="6" t="str" cm="1">
        <f t="array" ref="I40">_xlfn.SWITCH(H40,"XS",1,"S",2,"M",3,"L",5,"XL",8,"XXL",13,"XXXL",21,"")</f>
        <v/>
      </c>
      <c r="J40" s="6"/>
      <c r="K40" s="6"/>
      <c r="L40" s="6"/>
    </row>
    <row r="41" spans="1:12" x14ac:dyDescent="0.3">
      <c r="A41" s="6"/>
      <c r="B41" s="6"/>
      <c r="C41" s="6"/>
      <c r="D41" s="6"/>
      <c r="E41" s="6"/>
      <c r="F41" s="7"/>
      <c r="G41" s="6"/>
      <c r="H41" s="6"/>
      <c r="I41" s="6" t="str" cm="1">
        <f t="array" ref="I41">_xlfn.SWITCH(H41,"XS",1,"S",2,"M",3,"L",5,"XL",8,"XXL",13,"XXXL",21,"")</f>
        <v/>
      </c>
      <c r="J41" s="6"/>
      <c r="K41" s="6"/>
      <c r="L41" s="6"/>
    </row>
    <row r="42" spans="1:12" x14ac:dyDescent="0.3">
      <c r="A42" s="6"/>
      <c r="B42" s="6"/>
      <c r="C42" s="6"/>
      <c r="D42" s="6"/>
      <c r="E42" s="6"/>
      <c r="F42" s="7"/>
      <c r="G42" s="6"/>
      <c r="H42" s="6"/>
      <c r="I42" s="6" t="str" cm="1">
        <f t="array" ref="I42">_xlfn.SWITCH(H42,"XS",1,"S",2,"M",3,"L",5,"XL",8,"XXL",13,"XXXL",21,"")</f>
        <v/>
      </c>
      <c r="J42" s="6"/>
      <c r="K42" s="6"/>
      <c r="L42" s="6"/>
    </row>
    <row r="43" spans="1:12" x14ac:dyDescent="0.3">
      <c r="A43" s="6"/>
      <c r="B43" s="6"/>
      <c r="C43" s="6"/>
      <c r="D43" s="6"/>
      <c r="E43" s="6"/>
      <c r="F43" s="7"/>
      <c r="G43" s="6"/>
      <c r="H43" s="6"/>
      <c r="I43" s="6" t="str" cm="1">
        <f t="array" ref="I43">_xlfn.SWITCH(H43,"XS",1,"S",2,"M",3,"L",5,"XL",8,"XXL",13,"XXXL",21,"")</f>
        <v/>
      </c>
      <c r="J43" s="6"/>
      <c r="K43" s="6"/>
      <c r="L43" s="6"/>
    </row>
    <row r="44" spans="1:12" x14ac:dyDescent="0.3">
      <c r="A44" s="6"/>
      <c r="B44" s="6"/>
      <c r="C44" s="6"/>
      <c r="D44" s="6"/>
      <c r="E44" s="6"/>
      <c r="F44" s="7"/>
      <c r="G44" s="6"/>
      <c r="H44" s="6"/>
      <c r="I44" s="6" t="str" cm="1">
        <f t="array" ref="I44">_xlfn.SWITCH(H44,"XS",1,"S",2,"M",3,"L",5,"XL",8,"XXL",13,"XXXL",21,"")</f>
        <v/>
      </c>
      <c r="J44" s="6"/>
      <c r="K44" s="6"/>
      <c r="L44" s="6"/>
    </row>
    <row r="45" spans="1:12" x14ac:dyDescent="0.3">
      <c r="A45" s="6"/>
      <c r="B45" s="6"/>
      <c r="C45" s="6"/>
      <c r="D45" s="6"/>
      <c r="E45" s="6"/>
      <c r="F45" s="7"/>
      <c r="G45" s="6"/>
      <c r="H45" s="6"/>
      <c r="I45" s="6" t="str" cm="1">
        <f t="array" ref="I45">_xlfn.SWITCH(H45,"XS",1,"S",2,"M",3,"L",5,"XL",8,"XXL",13,"XXXL",21,"")</f>
        <v/>
      </c>
      <c r="J45" s="6"/>
      <c r="K45" s="6"/>
      <c r="L45" s="6"/>
    </row>
    <row r="46" spans="1:12" x14ac:dyDescent="0.3">
      <c r="A46" s="6"/>
      <c r="B46" s="6"/>
      <c r="C46" s="6"/>
      <c r="D46" s="6"/>
      <c r="E46" s="6"/>
      <c r="F46" s="7"/>
      <c r="G46" s="6"/>
      <c r="H46" s="6"/>
      <c r="I46" s="6" t="str" cm="1">
        <f t="array" ref="I46">_xlfn.SWITCH(H46,"XS",1,"S",2,"M",3,"L",5,"XL",8,"XXL",13,"XXXL",21,"")</f>
        <v/>
      </c>
      <c r="J46" s="6"/>
      <c r="K46" s="6"/>
      <c r="L46" s="6"/>
    </row>
    <row r="47" spans="1:12" x14ac:dyDescent="0.3">
      <c r="A47" s="6"/>
      <c r="B47" s="6"/>
      <c r="C47" s="6"/>
      <c r="D47" s="6"/>
      <c r="E47" s="6"/>
      <c r="F47" s="7"/>
      <c r="G47" s="6"/>
      <c r="H47" s="6"/>
      <c r="I47" s="6" t="str" cm="1">
        <f t="array" ref="I47">_xlfn.SWITCH(H47,"XS",1,"S",2,"M",3,"L",5,"XL",8,"XXL",13,"XXXL",21,"")</f>
        <v/>
      </c>
      <c r="J47" s="6"/>
      <c r="K47" s="6"/>
      <c r="L47" s="6"/>
    </row>
    <row r="48" spans="1:12" x14ac:dyDescent="0.3">
      <c r="A48" s="6"/>
      <c r="B48" s="6"/>
      <c r="C48" s="6"/>
      <c r="D48" s="6"/>
      <c r="E48" s="6"/>
      <c r="F48" s="7"/>
      <c r="G48" s="6"/>
      <c r="H48" s="6"/>
      <c r="I48" s="6" t="str" cm="1">
        <f t="array" ref="I48">_xlfn.SWITCH(H48,"XS",1,"S",2,"M",3,"L",5,"XL",8,"XXL",13,"XXXL",21,"")</f>
        <v/>
      </c>
      <c r="J48" s="6"/>
      <c r="K48" s="6"/>
      <c r="L48" s="6"/>
    </row>
    <row r="49" spans="1:12" x14ac:dyDescent="0.3">
      <c r="A49" s="6"/>
      <c r="B49" s="6"/>
      <c r="C49" s="6"/>
      <c r="D49" s="6"/>
      <c r="E49" s="6"/>
      <c r="F49" s="7"/>
      <c r="G49" s="6"/>
      <c r="H49" s="6"/>
      <c r="I49" s="6" t="str" cm="1">
        <f t="array" ref="I49">_xlfn.SWITCH(H49,"XS",1,"S",2,"M",3,"L",5,"XL",8,"XXL",13,"XXXL",21,"")</f>
        <v/>
      </c>
      <c r="J49" s="6"/>
      <c r="K49" s="6"/>
      <c r="L49" s="6"/>
    </row>
    <row r="50" spans="1:12" x14ac:dyDescent="0.3">
      <c r="A50" s="6"/>
      <c r="B50" s="6"/>
      <c r="C50" s="6"/>
      <c r="D50" s="6"/>
      <c r="E50" s="6"/>
      <c r="F50" s="7"/>
      <c r="G50" s="6"/>
      <c r="H50" s="6"/>
      <c r="I50" s="6" t="str" cm="1">
        <f t="array" ref="I50">_xlfn.SWITCH(H50,"XS",1,"S",2,"M",3,"L",5,"XL",8,"XXL",13,"XXXL",21,"")</f>
        <v/>
      </c>
      <c r="J50" s="6"/>
      <c r="K50" s="6"/>
      <c r="L50" s="6"/>
    </row>
    <row r="51" spans="1:12" x14ac:dyDescent="0.3">
      <c r="A51" s="6"/>
      <c r="B51" s="6"/>
      <c r="C51" s="6"/>
      <c r="D51" s="6"/>
      <c r="E51" s="6"/>
      <c r="F51" s="8"/>
      <c r="G51" s="6"/>
      <c r="H51" s="6"/>
      <c r="I51" s="6" t="str" cm="1">
        <f t="array" ref="I51">_xlfn.SWITCH(H51,"XS",1,"S",2,"M",3,"L",5,"XL",8,"XXL",13,"XXXL",21,"")</f>
        <v/>
      </c>
      <c r="J51" s="6"/>
      <c r="K51" s="6"/>
      <c r="L51" s="6"/>
    </row>
    <row r="52" spans="1:12" x14ac:dyDescent="0.3">
      <c r="A52" s="6"/>
      <c r="B52" s="6"/>
      <c r="C52" s="6"/>
      <c r="D52" s="6"/>
      <c r="E52" s="6"/>
      <c r="F52" s="8"/>
      <c r="G52" s="6"/>
      <c r="H52" s="6"/>
      <c r="I52" s="6" t="str" cm="1">
        <f t="array" ref="I52">_xlfn.SWITCH(H52,"XS",1,"S",2,"M",3,"L",5,"XL",8,"XXL",13,"XXXL",21,"")</f>
        <v/>
      </c>
      <c r="J52" s="6"/>
      <c r="K52" s="6"/>
      <c r="L52" s="6"/>
    </row>
    <row r="53" spans="1:12" x14ac:dyDescent="0.3">
      <c r="A53" s="6"/>
      <c r="B53" s="6"/>
      <c r="C53" s="6"/>
      <c r="D53" s="6"/>
      <c r="E53" s="6"/>
      <c r="F53" s="8"/>
      <c r="G53" s="6"/>
      <c r="H53" s="6"/>
      <c r="I53" s="6" t="str" cm="1">
        <f t="array" ref="I53">_xlfn.SWITCH(H53,"XS",1,"S",2,"M",3,"L",5,"XL",8,"XXL",13,"XXXL",21,"")</f>
        <v/>
      </c>
      <c r="J53" s="6"/>
      <c r="K53" s="6"/>
      <c r="L53" s="6"/>
    </row>
    <row r="54" spans="1:12" x14ac:dyDescent="0.3">
      <c r="A54" s="6"/>
      <c r="B54" s="6"/>
      <c r="C54" s="6"/>
      <c r="D54" s="6"/>
      <c r="E54" s="6"/>
      <c r="F54" s="8"/>
      <c r="G54" s="6"/>
      <c r="H54" s="6"/>
      <c r="I54" s="6" t="str" cm="1">
        <f t="array" ref="I54">_xlfn.SWITCH(H54,"XS",1,"S",2,"M",3,"L",5,"XL",8,"XXL",13,"XXXL",21,"")</f>
        <v/>
      </c>
      <c r="J54" s="6"/>
      <c r="K54" s="6"/>
      <c r="L54" s="6"/>
    </row>
    <row r="55" spans="1:12" x14ac:dyDescent="0.3">
      <c r="A55" s="6"/>
      <c r="B55" s="6"/>
      <c r="C55" s="6"/>
      <c r="D55" s="6"/>
      <c r="E55" s="6"/>
      <c r="F55" s="8"/>
      <c r="G55" s="6"/>
      <c r="H55" s="6"/>
      <c r="I55" s="6" t="str" cm="1">
        <f t="array" ref="I55">_xlfn.SWITCH(H55,"XS",1,"S",2,"M",3,"L",5,"XL",8,"XXL",13,"XXXL",21,"")</f>
        <v/>
      </c>
      <c r="J55" s="6"/>
      <c r="K55" s="6"/>
      <c r="L55" s="6"/>
    </row>
    <row r="56" spans="1:12" x14ac:dyDescent="0.3">
      <c r="A56" s="6"/>
      <c r="B56" s="6"/>
      <c r="C56" s="6"/>
      <c r="D56" s="6"/>
      <c r="E56" s="6"/>
      <c r="F56" s="8"/>
      <c r="G56" s="6"/>
      <c r="H56" s="6"/>
      <c r="I56" s="6" t="str" cm="1">
        <f t="array" ref="I56">_xlfn.SWITCH(H56,"XS",1,"S",2,"M",3,"L",5,"XL",8,"XXL",13,"XXXL",21,"")</f>
        <v/>
      </c>
      <c r="J56" s="6"/>
      <c r="K56" s="6"/>
      <c r="L56" s="6"/>
    </row>
    <row r="57" spans="1:12" x14ac:dyDescent="0.3">
      <c r="A57" s="6"/>
      <c r="B57" s="6"/>
      <c r="C57" s="6"/>
      <c r="D57" s="6"/>
      <c r="E57" s="6"/>
      <c r="F57" s="7"/>
      <c r="G57" s="6"/>
      <c r="H57" s="6"/>
      <c r="I57" s="6" t="str" cm="1">
        <f t="array" ref="I57">_xlfn.SWITCH(H57,"XS",1,"S",2,"M",3,"L",5,"XL",8,"XXL",13,"XXXL",21,"")</f>
        <v/>
      </c>
      <c r="J57" s="6"/>
      <c r="K57" s="6"/>
      <c r="L57" s="6"/>
    </row>
    <row r="58" spans="1:12" x14ac:dyDescent="0.3">
      <c r="A58" s="6"/>
      <c r="B58" s="6"/>
      <c r="C58" s="6"/>
      <c r="D58" s="6"/>
      <c r="E58" s="6"/>
      <c r="F58" s="7"/>
      <c r="G58" s="6"/>
      <c r="H58" s="6"/>
      <c r="I58" s="6" t="str" cm="1">
        <f t="array" ref="I58">_xlfn.SWITCH(H58,"XS",1,"S",2,"M",3,"L",5,"XL",8,"XXL",13,"XXXL",21,"")</f>
        <v/>
      </c>
      <c r="J58" s="6"/>
      <c r="K58" s="6"/>
      <c r="L58" s="6"/>
    </row>
    <row r="59" spans="1:12" x14ac:dyDescent="0.3">
      <c r="A59" s="6"/>
      <c r="B59" s="6"/>
      <c r="C59" s="6"/>
      <c r="D59" s="6"/>
      <c r="E59" s="6"/>
      <c r="F59" s="7"/>
      <c r="G59" s="6"/>
      <c r="H59" s="6"/>
      <c r="I59" s="6" t="str" cm="1">
        <f t="array" ref="I59">_xlfn.SWITCH(H59,"XS",1,"S",2,"M",3,"L",5,"XL",8,"XXL",13,"XXXL",21,"")</f>
        <v/>
      </c>
      <c r="J59" s="6"/>
      <c r="K59" s="6"/>
      <c r="L59" s="6"/>
    </row>
    <row r="60" spans="1:12" x14ac:dyDescent="0.3">
      <c r="A60" s="6"/>
      <c r="B60" s="6"/>
      <c r="C60" s="6"/>
      <c r="D60" s="6"/>
      <c r="E60" s="6"/>
      <c r="F60" s="7"/>
      <c r="G60" s="6"/>
      <c r="H60" s="6"/>
      <c r="I60" s="6" t="str" cm="1">
        <f t="array" ref="I60">_xlfn.SWITCH(H60,"XS",1,"S",2,"M",3,"L",5,"XL",8,"XXL",13,"XXXL",21,"")</f>
        <v/>
      </c>
      <c r="J60" s="6"/>
      <c r="K60" s="6"/>
      <c r="L60" s="6"/>
    </row>
    <row r="61" spans="1:12" x14ac:dyDescent="0.3">
      <c r="A61" s="6"/>
      <c r="B61" s="6"/>
      <c r="C61" s="6"/>
      <c r="D61" s="6"/>
      <c r="E61" s="6"/>
      <c r="F61" s="7"/>
      <c r="G61" s="6"/>
      <c r="H61" s="6"/>
      <c r="I61" s="6" t="str" cm="1">
        <f t="array" ref="I61">_xlfn.SWITCH(H61,"XS",1,"S",2,"M",3,"L",5,"XL",8,"XXL",13,"XXXL",21,"")</f>
        <v/>
      </c>
      <c r="J61" s="6"/>
      <c r="K61" s="6"/>
      <c r="L61" s="6"/>
    </row>
    <row r="62" spans="1:12" x14ac:dyDescent="0.3">
      <c r="A62" s="6"/>
      <c r="B62" s="6"/>
      <c r="C62" s="6"/>
      <c r="D62" s="6"/>
      <c r="E62" s="6"/>
      <c r="F62" s="7"/>
      <c r="G62" s="6"/>
      <c r="H62" s="6"/>
      <c r="I62" s="6" t="str" cm="1">
        <f t="array" ref="I62">_xlfn.SWITCH(H62,"XS",1,"S",2,"M",3,"L",5,"XL",8,"XXL",13,"XXXL",21,"")</f>
        <v/>
      </c>
      <c r="J62" s="6"/>
      <c r="K62" s="6"/>
      <c r="L62" s="6"/>
    </row>
    <row r="63" spans="1:12" x14ac:dyDescent="0.3">
      <c r="A63" s="6"/>
      <c r="B63" s="6"/>
      <c r="C63" s="6"/>
      <c r="D63" s="6"/>
      <c r="E63" s="6"/>
      <c r="F63" s="7"/>
      <c r="G63" s="6"/>
      <c r="H63" s="6"/>
      <c r="I63" s="6" t="str" cm="1">
        <f t="array" ref="I63">_xlfn.SWITCH(H63,"XS",1,"S",2,"M",3,"L",5,"XL",8,"XXL",13,"XXXL",21,"")</f>
        <v/>
      </c>
      <c r="J63" s="6"/>
      <c r="K63" s="6"/>
      <c r="L63" s="6"/>
    </row>
    <row r="64" spans="1:12" x14ac:dyDescent="0.3">
      <c r="A64" s="6"/>
      <c r="B64" s="6"/>
      <c r="C64" s="6"/>
      <c r="D64" s="6"/>
      <c r="E64" s="6"/>
      <c r="F64" s="7"/>
      <c r="G64" s="6"/>
      <c r="H64" s="6"/>
      <c r="I64" s="6" t="str" cm="1">
        <f t="array" ref="I64">_xlfn.SWITCH(H64,"XS",1,"S",2,"M",3,"L",5,"XL",8,"XXL",13,"XXXL",21,"")</f>
        <v/>
      </c>
      <c r="J64" s="6"/>
      <c r="K64" s="6"/>
      <c r="L64" s="6"/>
    </row>
    <row r="65" spans="1:12" x14ac:dyDescent="0.3">
      <c r="A65" s="6"/>
      <c r="B65" s="6"/>
      <c r="C65" s="6"/>
      <c r="D65" s="6"/>
      <c r="E65" s="6"/>
      <c r="F65" s="7"/>
      <c r="G65" s="6"/>
      <c r="H65" s="6"/>
      <c r="I65" s="6" t="str" cm="1">
        <f t="array" ref="I65">_xlfn.SWITCH(H65,"XS",1,"S",2,"M",3,"L",5,"XL",8,"XXL",13,"XXXL",21,"")</f>
        <v/>
      </c>
      <c r="J65" s="6"/>
      <c r="K65" s="6"/>
      <c r="L65" s="6"/>
    </row>
    <row r="66" spans="1:12" x14ac:dyDescent="0.3">
      <c r="A66" s="6"/>
      <c r="B66" s="6"/>
      <c r="C66" s="6"/>
      <c r="D66" s="6"/>
      <c r="E66" s="6"/>
      <c r="F66" s="7"/>
      <c r="G66" s="6"/>
      <c r="H66" s="6"/>
      <c r="I66" s="6" t="str" cm="1">
        <f t="array" ref="I66">_xlfn.SWITCH(H66,"XS",1,"S",2,"M",3,"L",5,"XL",8,"XXL",13,"XXXL",21,"")</f>
        <v/>
      </c>
      <c r="J66" s="6"/>
      <c r="K66" s="6"/>
      <c r="L66" s="6"/>
    </row>
    <row r="67" spans="1:12" x14ac:dyDescent="0.3">
      <c r="A67" s="6"/>
      <c r="B67" s="6"/>
      <c r="C67" s="6"/>
      <c r="D67" s="6"/>
      <c r="E67" s="6"/>
      <c r="F67" s="7"/>
      <c r="G67" s="6"/>
      <c r="H67" s="6"/>
      <c r="I67" s="6" t="str" cm="1">
        <f t="array" ref="I67">_xlfn.SWITCH(H67,"XS",1,"S",2,"M",3,"L",5,"XL",8,"XXL",13,"XXXL",21,"")</f>
        <v/>
      </c>
      <c r="J67" s="6"/>
      <c r="K67" s="6"/>
      <c r="L67" s="6"/>
    </row>
    <row r="68" spans="1:12" x14ac:dyDescent="0.3">
      <c r="A68" s="6"/>
      <c r="B68" s="6"/>
      <c r="C68" s="6"/>
      <c r="D68" s="6"/>
      <c r="E68" s="6"/>
      <c r="F68" s="5"/>
      <c r="G68" s="6"/>
      <c r="H68" s="6"/>
      <c r="I68" s="6" t="str" cm="1">
        <f t="array" ref="I68">_xlfn.SWITCH(H68,"XS",1,"S",2,"M",3,"L",5,"XL",8,"XXL",13,"XXXL",21,"")</f>
        <v/>
      </c>
      <c r="J68" s="6"/>
      <c r="K68" s="6"/>
      <c r="L68" s="6"/>
    </row>
    <row r="69" spans="1:12" x14ac:dyDescent="0.3">
      <c r="A69" s="6"/>
      <c r="B69" s="6"/>
      <c r="C69" s="6"/>
      <c r="D69" s="6"/>
      <c r="E69" s="6"/>
      <c r="F69" s="7"/>
      <c r="G69" s="6"/>
      <c r="H69" s="6"/>
      <c r="I69" s="6" t="str" cm="1">
        <f t="array" ref="I69">_xlfn.SWITCH(H69,"XS",1,"S",2,"M",3,"L",5,"XL",8,"XXL",13,"XXXL",21,"")</f>
        <v/>
      </c>
      <c r="J69" s="6"/>
      <c r="K69" s="6"/>
      <c r="L69" s="6"/>
    </row>
    <row r="70" spans="1:12" x14ac:dyDescent="0.3">
      <c r="A70" s="6"/>
      <c r="B70" s="6"/>
      <c r="C70" s="6"/>
      <c r="D70" s="6"/>
      <c r="E70" s="6"/>
      <c r="F70" s="5"/>
      <c r="G70" s="6"/>
      <c r="H70" s="6"/>
      <c r="I70" s="6" t="str" cm="1">
        <f t="array" ref="I70">_xlfn.SWITCH(H70,"XS",1,"S",2,"M",3,"L",5,"XL",8,"XXL",13,"XXXL",21,"")</f>
        <v/>
      </c>
      <c r="J70" s="6"/>
      <c r="K70" s="6"/>
      <c r="L70" s="6"/>
    </row>
    <row r="71" spans="1:12" x14ac:dyDescent="0.3">
      <c r="A71" s="6"/>
      <c r="B71" s="6"/>
      <c r="C71" s="6"/>
      <c r="D71" s="6"/>
      <c r="E71" s="6"/>
      <c r="F71" s="5"/>
      <c r="G71" s="6"/>
      <c r="H71" s="6"/>
      <c r="I71" s="6" t="str" cm="1">
        <f t="array" ref="I71">_xlfn.SWITCH(H71,"XS",1,"S",2,"M",3,"L",5,"XL",8,"XXL",13,"XXXL",21,"")</f>
        <v/>
      </c>
      <c r="J71" s="6"/>
      <c r="K71" s="6"/>
      <c r="L71" s="6"/>
    </row>
    <row r="72" spans="1:12" x14ac:dyDescent="0.3">
      <c r="A72" s="6"/>
      <c r="B72" s="6"/>
      <c r="C72" s="6"/>
      <c r="D72" s="6"/>
      <c r="E72" s="6"/>
      <c r="F72" s="7"/>
      <c r="G72" s="6"/>
      <c r="H72" s="6"/>
      <c r="I72" s="6" t="str" cm="1">
        <f t="array" ref="I72">_xlfn.SWITCH(H72,"XS",1,"S",2,"M",3,"L",5,"XL",8,"XXL",13,"XXXL",21,"")</f>
        <v/>
      </c>
      <c r="J72" s="6"/>
      <c r="K72" s="6"/>
      <c r="L72" s="6"/>
    </row>
    <row r="73" spans="1:12" x14ac:dyDescent="0.3">
      <c r="A73" s="6"/>
      <c r="B73" s="6"/>
      <c r="C73" s="6"/>
      <c r="D73" s="6"/>
      <c r="E73" s="6"/>
      <c r="F73" s="7"/>
      <c r="G73" s="6"/>
      <c r="H73" s="6"/>
      <c r="I73" s="6" t="str" cm="1">
        <f t="array" ref="I73">_xlfn.SWITCH(H73,"XS",1,"S",2,"M",3,"L",5,"XL",8,"XXL",13,"XXXL",21,"")</f>
        <v/>
      </c>
      <c r="J73" s="6"/>
      <c r="K73" s="6"/>
      <c r="L73" s="6"/>
    </row>
    <row r="74" spans="1:12" x14ac:dyDescent="0.3">
      <c r="A74" s="6"/>
      <c r="B74" s="6"/>
      <c r="C74" s="6"/>
      <c r="D74" s="6"/>
      <c r="E74" s="6"/>
      <c r="F74" s="7"/>
      <c r="G74" s="6"/>
      <c r="H74" s="6"/>
      <c r="I74" s="6" t="str" cm="1">
        <f t="array" ref="I74">_xlfn.SWITCH(H74,"XS",1,"S",2,"M",3,"L",5,"XL",8,"XXL",13,"XXXL",21,"")</f>
        <v/>
      </c>
      <c r="J74" s="6"/>
      <c r="K74" s="6"/>
      <c r="L74" s="6"/>
    </row>
    <row r="75" spans="1:12" x14ac:dyDescent="0.3">
      <c r="A75" s="6"/>
      <c r="B75" s="6"/>
      <c r="C75" s="6"/>
      <c r="D75" s="6"/>
      <c r="E75" s="6"/>
      <c r="F75" s="7"/>
      <c r="G75" s="6"/>
      <c r="H75" s="6"/>
      <c r="I75" s="6" t="str" cm="1">
        <f t="array" ref="I75">_xlfn.SWITCH(H75,"XS",1,"S",2,"M",3,"L",5,"XL",8,"XXL",13,"XXXL",21,"")</f>
        <v/>
      </c>
      <c r="J75" s="6"/>
      <c r="K75" s="6"/>
      <c r="L75" s="6"/>
    </row>
    <row r="76" spans="1:12" x14ac:dyDescent="0.3">
      <c r="A76" s="6"/>
      <c r="B76" s="6"/>
      <c r="C76" s="6"/>
      <c r="D76" s="6"/>
      <c r="E76" s="6"/>
      <c r="F76" s="7"/>
      <c r="G76" s="6"/>
      <c r="H76" s="6"/>
      <c r="I76" s="6" t="str" cm="1">
        <f t="array" ref="I76">_xlfn.SWITCH(H76,"XS",1,"S",2,"M",3,"L",5,"XL",8,"XXL",13,"XXXL",21,"")</f>
        <v/>
      </c>
      <c r="J76" s="6"/>
      <c r="K76" s="6"/>
      <c r="L76" s="6"/>
    </row>
    <row r="77" spans="1:12" x14ac:dyDescent="0.3">
      <c r="A77" s="6"/>
      <c r="B77" s="6"/>
      <c r="C77" s="6"/>
      <c r="D77" s="6"/>
      <c r="E77" s="6"/>
      <c r="F77" s="8"/>
      <c r="G77" s="6"/>
      <c r="H77" s="6"/>
      <c r="I77" s="6" t="str" cm="1">
        <f t="array" ref="I77">_xlfn.SWITCH(H77,"XS",1,"S",2,"M",3,"L",5,"XL",8,"XXL",13,"XXXL",21,"")</f>
        <v/>
      </c>
      <c r="J77" s="6"/>
      <c r="K77" s="6"/>
      <c r="L77" s="6"/>
    </row>
    <row r="78" spans="1:12" x14ac:dyDescent="0.3">
      <c r="A78" s="6"/>
      <c r="B78" s="6"/>
      <c r="C78" s="6"/>
      <c r="D78" s="6"/>
      <c r="E78" s="6"/>
      <c r="F78" s="8"/>
      <c r="G78" s="6"/>
      <c r="H78" s="6"/>
      <c r="I78" s="6" t="str" cm="1">
        <f t="array" ref="I78">_xlfn.SWITCH(H78,"XS",1,"S",2,"M",3,"L",5,"XL",8,"XXL",13,"XXXL",21,"")</f>
        <v/>
      </c>
      <c r="J78" s="6"/>
      <c r="K78" s="6"/>
      <c r="L78" s="6"/>
    </row>
    <row r="79" spans="1:12" x14ac:dyDescent="0.3">
      <c r="A79" s="6"/>
      <c r="B79" s="6"/>
      <c r="C79" s="6"/>
      <c r="D79" s="6"/>
      <c r="E79" s="6"/>
      <c r="F79" s="8"/>
      <c r="G79" s="6"/>
      <c r="H79" s="6"/>
      <c r="I79" s="6" t="str" cm="1">
        <f t="array" ref="I79">_xlfn.SWITCH(H79,"XS",1,"S",2,"M",3,"L",5,"XL",8,"XXL",13,"XXXL",21,"")</f>
        <v/>
      </c>
      <c r="J79" s="6"/>
      <c r="K79" s="6"/>
      <c r="L79" s="6"/>
    </row>
    <row r="80" spans="1:12" x14ac:dyDescent="0.3">
      <c r="A80" s="6"/>
      <c r="B80" s="6"/>
      <c r="C80" s="6"/>
      <c r="D80" s="6"/>
      <c r="E80" s="6"/>
      <c r="F80" s="8"/>
      <c r="G80" s="6"/>
      <c r="H80" s="6"/>
      <c r="I80" s="6" t="str" cm="1">
        <f t="array" ref="I80">_xlfn.SWITCH(H80,"XS",1,"S",2,"M",3,"L",5,"XL",8,"XXL",13,"XXXL",21,"")</f>
        <v/>
      </c>
      <c r="J80" s="6"/>
      <c r="K80" s="6"/>
      <c r="L80" s="6"/>
    </row>
    <row r="81" spans="1:12" x14ac:dyDescent="0.3">
      <c r="A81" s="6"/>
      <c r="B81" s="6"/>
      <c r="C81" s="6"/>
      <c r="D81" s="6"/>
      <c r="E81" s="6"/>
      <c r="F81" s="8"/>
      <c r="G81" s="6"/>
      <c r="H81" s="6"/>
      <c r="I81" s="6" t="str" cm="1">
        <f t="array" ref="I81">_xlfn.SWITCH(H81,"XS",1,"S",2,"M",3,"L",5,"XL",8,"XXL",13,"XXXL",21,"")</f>
        <v/>
      </c>
      <c r="J81" s="6"/>
      <c r="K81" s="6"/>
      <c r="L81" s="6"/>
    </row>
    <row r="82" spans="1:12" x14ac:dyDescent="0.3">
      <c r="A82" s="6"/>
      <c r="B82" s="6"/>
      <c r="C82" s="6"/>
      <c r="D82" s="6"/>
      <c r="E82" s="6"/>
      <c r="F82" s="8"/>
      <c r="G82" s="6"/>
      <c r="H82" s="6"/>
      <c r="I82" s="6" t="str" cm="1">
        <f t="array" ref="I82">_xlfn.SWITCH(H82,"XS",1,"S",2,"M",3,"L",5,"XL",8,"XXL",13,"XXXL",21,"")</f>
        <v/>
      </c>
      <c r="J82" s="6"/>
      <c r="K82" s="6"/>
      <c r="L82" s="6"/>
    </row>
    <row r="83" spans="1:12" x14ac:dyDescent="0.3">
      <c r="A83" s="6"/>
      <c r="B83" s="6"/>
      <c r="C83" s="6"/>
      <c r="D83" s="6"/>
      <c r="E83" s="6"/>
      <c r="F83" s="8"/>
      <c r="G83" s="6"/>
      <c r="H83" s="6"/>
      <c r="I83" s="6" t="str" cm="1">
        <f t="array" ref="I83">_xlfn.SWITCH(H83,"XS",1,"S",2,"M",3,"L",5,"XL",8,"XXL",13,"XXXL",21,"")</f>
        <v/>
      </c>
      <c r="J83" s="6"/>
      <c r="K83" s="6"/>
      <c r="L83" s="6"/>
    </row>
    <row r="84" spans="1:12" x14ac:dyDescent="0.3">
      <c r="A84" s="6"/>
      <c r="B84" s="6"/>
      <c r="C84" s="6"/>
      <c r="D84" s="6"/>
      <c r="E84" s="6"/>
      <c r="F84" s="8"/>
      <c r="G84" s="6"/>
      <c r="H84" s="6"/>
      <c r="I84" s="6" t="str" cm="1">
        <f t="array" ref="I84">_xlfn.SWITCH(H84,"XS",1,"S",2,"M",3,"L",5,"XL",8,"XXL",13,"XXXL",21,"")</f>
        <v/>
      </c>
      <c r="J84" s="6"/>
      <c r="K84" s="6"/>
      <c r="L84" s="6"/>
    </row>
    <row r="85" spans="1:12" x14ac:dyDescent="0.3">
      <c r="A85" s="6"/>
      <c r="B85" s="6"/>
      <c r="C85" s="6"/>
      <c r="D85" s="6"/>
      <c r="E85" s="6"/>
      <c r="F85" s="8"/>
      <c r="G85" s="6"/>
      <c r="H85" s="6"/>
      <c r="I85" s="6" t="str" cm="1">
        <f t="array" ref="I85">_xlfn.SWITCH(H85,"XS",1,"S",2,"M",3,"L",5,"XL",8,"XXL",13,"XXXL",21,"")</f>
        <v/>
      </c>
      <c r="J85" s="6"/>
      <c r="K85" s="6"/>
      <c r="L85" s="6"/>
    </row>
    <row r="86" spans="1:12" x14ac:dyDescent="0.3">
      <c r="A86" s="6"/>
      <c r="B86" s="6"/>
      <c r="C86" s="6"/>
      <c r="D86" s="6"/>
      <c r="E86" s="6"/>
      <c r="F86" s="8"/>
      <c r="G86" s="6"/>
      <c r="H86" s="6"/>
      <c r="I86" s="6" t="str" cm="1">
        <f t="array" ref="I86">_xlfn.SWITCH(H86,"XS",1,"S",2,"M",3,"L",5,"XL",8,"XXL",13,"XXXL",21,"")</f>
        <v/>
      </c>
      <c r="J86" s="6"/>
      <c r="K86" s="6"/>
      <c r="L86" s="6"/>
    </row>
    <row r="87" spans="1:12" x14ac:dyDescent="0.3">
      <c r="A87" s="6"/>
      <c r="B87" s="6"/>
      <c r="C87" s="6"/>
      <c r="D87" s="6"/>
      <c r="E87" s="6"/>
      <c r="F87" s="8"/>
      <c r="G87" s="6"/>
      <c r="H87" s="6"/>
      <c r="I87" s="6" t="str" cm="1">
        <f t="array" ref="I87">_xlfn.SWITCH(H87,"XS",1,"S",2,"M",3,"L",5,"XL",8,"XXL",13,"XXXL",21,"")</f>
        <v/>
      </c>
      <c r="J87" s="6"/>
      <c r="K87" s="6"/>
      <c r="L87" s="6"/>
    </row>
    <row r="88" spans="1:12" x14ac:dyDescent="0.3">
      <c r="A88" s="6"/>
      <c r="B88" s="6"/>
      <c r="C88" s="6"/>
      <c r="D88" s="6"/>
      <c r="E88" s="6"/>
      <c r="F88" s="8"/>
      <c r="G88" s="6"/>
      <c r="H88" s="6"/>
      <c r="I88" s="6" t="str" cm="1">
        <f t="array" ref="I88">_xlfn.SWITCH(H88,"XS",1,"S",2,"M",3,"L",5,"XL",8,"XXL",13,"XXXL",21,"")</f>
        <v/>
      </c>
      <c r="J88" s="6"/>
      <c r="K88" s="6"/>
      <c r="L88" s="6"/>
    </row>
    <row r="89" spans="1:12" x14ac:dyDescent="0.3">
      <c r="A89" s="6"/>
      <c r="B89" s="6"/>
      <c r="C89" s="6"/>
      <c r="D89" s="6"/>
      <c r="E89" s="6"/>
      <c r="F89" s="8"/>
      <c r="G89" s="6"/>
      <c r="H89" s="6"/>
      <c r="I89" s="6" t="str" cm="1">
        <f t="array" ref="I89">_xlfn.SWITCH(H89,"XS",1,"S",2,"M",3,"L",5,"XL",8,"XXL",13,"XXXL",21,"")</f>
        <v/>
      </c>
      <c r="J89" s="6"/>
      <c r="K89" s="6"/>
      <c r="L89" s="6"/>
    </row>
    <row r="90" spans="1:12" x14ac:dyDescent="0.3">
      <c r="A90" s="6"/>
      <c r="B90" s="6"/>
      <c r="C90" s="6"/>
      <c r="D90" s="6"/>
      <c r="E90" s="6"/>
      <c r="F90" s="8"/>
      <c r="G90" s="6"/>
      <c r="H90" s="6"/>
      <c r="I90" s="6" t="str" cm="1">
        <f t="array" ref="I90">_xlfn.SWITCH(H90,"XS",1,"S",2,"M",3,"L",5,"XL",8,"XXL",13,"XXXL",21,"")</f>
        <v/>
      </c>
      <c r="J90" s="6"/>
      <c r="K90" s="6"/>
      <c r="L90" s="6"/>
    </row>
    <row r="91" spans="1:12" x14ac:dyDescent="0.3">
      <c r="A91" s="6"/>
      <c r="B91" s="6"/>
      <c r="C91" s="6"/>
      <c r="D91" s="6"/>
      <c r="E91" s="6"/>
      <c r="F91" s="8"/>
      <c r="G91" s="6"/>
      <c r="H91" s="6"/>
      <c r="I91" s="6" t="str" cm="1">
        <f t="array" ref="I91">_xlfn.SWITCH(H91,"XS",1,"S",2,"M",3,"L",5,"XL",8,"XXL",13,"XXXL",21,"")</f>
        <v/>
      </c>
      <c r="J91" s="6"/>
      <c r="K91" s="6"/>
      <c r="L91" s="6"/>
    </row>
    <row r="92" spans="1:12" x14ac:dyDescent="0.3">
      <c r="A92" s="6"/>
      <c r="B92" s="6"/>
      <c r="C92" s="6"/>
      <c r="D92" s="6"/>
      <c r="E92" s="6"/>
      <c r="F92" s="8"/>
      <c r="G92" s="6"/>
      <c r="H92" s="6"/>
      <c r="I92" s="6" t="str" cm="1">
        <f t="array" ref="I92">_xlfn.SWITCH(H92,"XS",1,"S",2,"M",3,"L",5,"XL",8,"XXL",13,"XXXL",21,"")</f>
        <v/>
      </c>
      <c r="J92" s="6"/>
      <c r="K92" s="6"/>
      <c r="L92" s="6"/>
    </row>
    <row r="93" spans="1:12" x14ac:dyDescent="0.3">
      <c r="A93" s="6"/>
      <c r="B93" s="6"/>
      <c r="C93" s="6"/>
      <c r="D93" s="6"/>
      <c r="E93" s="6"/>
      <c r="F93" s="8"/>
      <c r="G93" s="6"/>
      <c r="H93" s="6"/>
      <c r="I93" s="6" t="str" cm="1">
        <f t="array" ref="I93">_xlfn.SWITCH(H93,"XS",1,"S",2,"M",3,"L",5,"XL",8,"XXL",13,"XXXL",21,"")</f>
        <v/>
      </c>
      <c r="J93" s="6"/>
      <c r="K93" s="6"/>
      <c r="L93" s="6"/>
    </row>
    <row r="94" spans="1:12" x14ac:dyDescent="0.3">
      <c r="A94" s="6"/>
      <c r="B94" s="6"/>
      <c r="C94" s="6"/>
      <c r="D94" s="6"/>
      <c r="E94" s="6"/>
      <c r="F94" s="8"/>
      <c r="G94" s="6"/>
      <c r="H94" s="6"/>
      <c r="I94" s="6" t="str" cm="1">
        <f t="array" ref="I94">_xlfn.SWITCH(H94,"XS",1,"S",2,"M",3,"L",5,"XL",8,"XXL",13,"XXXL",21,"")</f>
        <v/>
      </c>
      <c r="J94" s="6"/>
      <c r="K94" s="6"/>
      <c r="L94" s="6"/>
    </row>
    <row r="95" spans="1:12" x14ac:dyDescent="0.3">
      <c r="A95" s="6"/>
      <c r="B95" s="6"/>
      <c r="C95" s="6"/>
      <c r="D95" s="6"/>
      <c r="E95" s="6"/>
      <c r="F95" s="8"/>
      <c r="G95" s="6"/>
      <c r="H95" s="6"/>
      <c r="I95" s="6" t="str" cm="1">
        <f t="array" ref="I95">_xlfn.SWITCH(H95,"XS",1,"S",2,"M",3,"L",5,"XL",8,"XXL",13,"XXXL",21,"")</f>
        <v/>
      </c>
      <c r="J95" s="6"/>
      <c r="K95" s="6"/>
      <c r="L95" s="6"/>
    </row>
    <row r="96" spans="1:12" x14ac:dyDescent="0.3">
      <c r="A96" s="6"/>
      <c r="B96" s="6"/>
      <c r="C96" s="6"/>
      <c r="D96" s="6"/>
      <c r="E96" s="6"/>
      <c r="F96" s="8"/>
      <c r="G96" s="6"/>
      <c r="H96" s="6"/>
      <c r="I96" s="6" t="str" cm="1">
        <f t="array" ref="I96">_xlfn.SWITCH(H96,"XS",1,"S",2,"M",3,"L",5,"XL",8,"XXL",13,"XXXL",21,"")</f>
        <v/>
      </c>
      <c r="J96" s="6"/>
      <c r="K96" s="6"/>
      <c r="L96" s="6"/>
    </row>
    <row r="97" spans="1:12" x14ac:dyDescent="0.3">
      <c r="A97" s="6"/>
      <c r="B97" s="6"/>
      <c r="C97" s="6"/>
      <c r="D97" s="6"/>
      <c r="E97" s="6"/>
      <c r="F97" s="8"/>
      <c r="G97" s="6"/>
      <c r="H97" s="6"/>
      <c r="I97" s="6" t="str" cm="1">
        <f t="array" ref="I97">_xlfn.SWITCH(H97,"XS",1,"S",2,"M",3,"L",5,"XL",8,"XXL",13,"XXXL",21,"")</f>
        <v/>
      </c>
      <c r="J97" s="6"/>
      <c r="K97" s="6"/>
      <c r="L97" s="6"/>
    </row>
    <row r="98" spans="1:12" x14ac:dyDescent="0.3">
      <c r="A98" s="6"/>
      <c r="B98" s="6"/>
      <c r="C98" s="6"/>
      <c r="D98" s="6"/>
      <c r="E98" s="6"/>
      <c r="F98" s="8"/>
      <c r="G98" s="6"/>
      <c r="H98" s="6"/>
      <c r="I98" s="6" t="str" cm="1">
        <f t="array" ref="I98">_xlfn.SWITCH(H98,"XS",1,"S",2,"M",3,"L",5,"XL",8,"XXL",13,"XXXL",21,"")</f>
        <v/>
      </c>
      <c r="J98" s="6"/>
      <c r="K98" s="6"/>
      <c r="L98" s="6"/>
    </row>
    <row r="99" spans="1:12" x14ac:dyDescent="0.3">
      <c r="A99" s="6"/>
      <c r="B99" s="6"/>
      <c r="C99" s="6"/>
      <c r="D99" s="6"/>
      <c r="E99" s="6"/>
      <c r="F99" s="8"/>
      <c r="G99" s="6"/>
      <c r="H99" s="6"/>
      <c r="I99" s="6" t="str" cm="1">
        <f t="array" ref="I99">_xlfn.SWITCH(H99,"XS",1,"S",2,"M",3,"L",5,"XL",8,"XXL",13,"XXXL",21,"")</f>
        <v/>
      </c>
      <c r="J99" s="6"/>
      <c r="K99" s="6"/>
      <c r="L99" s="6"/>
    </row>
    <row r="100" spans="1:12" x14ac:dyDescent="0.3">
      <c r="A100" s="6"/>
      <c r="B100" s="6"/>
      <c r="C100" s="6"/>
      <c r="D100" s="6"/>
      <c r="E100" s="6"/>
      <c r="F100" s="8"/>
      <c r="G100" s="6"/>
      <c r="H100" s="6"/>
      <c r="I100" s="6" t="str" cm="1">
        <f t="array" ref="I100">_xlfn.SWITCH(H100,"XS",1,"S",2,"M",3,"L",5,"XL",8,"XXL",13,"XXXL",21,"")</f>
        <v/>
      </c>
      <c r="J100" s="6"/>
      <c r="K100" s="6"/>
      <c r="L100" s="6"/>
    </row>
    <row r="101" spans="1:12" x14ac:dyDescent="0.3">
      <c r="A101" s="6"/>
      <c r="B101" s="6"/>
      <c r="C101" s="6"/>
      <c r="D101" s="6"/>
      <c r="E101" s="6"/>
      <c r="F101" s="8"/>
      <c r="G101" s="6"/>
      <c r="H101" s="6"/>
      <c r="I101" s="6" t="str" cm="1">
        <f t="array" ref="I101">_xlfn.SWITCH(H101,"XS",1,"S",2,"M",3,"L",5,"XL",8,"XXL",13,"XXXL",21,"")</f>
        <v/>
      </c>
      <c r="J101" s="6"/>
      <c r="K101" s="6"/>
      <c r="L101" s="6"/>
    </row>
    <row r="102" spans="1:12" x14ac:dyDescent="0.3">
      <c r="A102" s="6"/>
      <c r="B102" s="6"/>
      <c r="C102" s="6"/>
      <c r="D102" s="6"/>
      <c r="E102" s="6"/>
      <c r="F102" s="8"/>
      <c r="G102" s="6"/>
      <c r="H102" s="6"/>
      <c r="I102" s="6" t="str" cm="1">
        <f t="array" ref="I102">_xlfn.SWITCH(H102,"XS",1,"S",2,"M",3,"L",5,"XL",8,"XXL",13,"XXXL",21,"")</f>
        <v/>
      </c>
      <c r="J102" s="6"/>
      <c r="K102" s="6"/>
      <c r="L102" s="6"/>
    </row>
    <row r="103" spans="1:12" x14ac:dyDescent="0.3">
      <c r="A103" s="6"/>
      <c r="B103" s="6"/>
      <c r="C103" s="6"/>
      <c r="D103" s="6"/>
      <c r="E103" s="6"/>
      <c r="F103" s="8"/>
      <c r="G103" s="6"/>
      <c r="H103" s="6"/>
      <c r="I103" s="6" t="str" cm="1">
        <f t="array" ref="I103">_xlfn.SWITCH(H103,"XS",1,"S",2,"M",3,"L",5,"XL",8,"XXL",13,"XXXL",21,"")</f>
        <v/>
      </c>
      <c r="J103" s="6"/>
      <c r="K103" s="6"/>
      <c r="L103" s="6"/>
    </row>
    <row r="104" spans="1:12" x14ac:dyDescent="0.3">
      <c r="A104" s="6"/>
      <c r="B104" s="6"/>
      <c r="C104" s="6"/>
      <c r="D104" s="6"/>
      <c r="E104" s="6"/>
      <c r="F104" s="8"/>
      <c r="G104" s="6"/>
      <c r="H104" s="6"/>
      <c r="I104" s="6" t="str" cm="1">
        <f t="array" ref="I104">_xlfn.SWITCH(H104,"XS",1,"S",2,"M",3,"L",5,"XL",8,"XXL",13,"XXXL",21,"")</f>
        <v/>
      </c>
      <c r="J104" s="6"/>
      <c r="K104" s="6"/>
      <c r="L104" s="6"/>
    </row>
    <row r="105" spans="1:12" x14ac:dyDescent="0.3">
      <c r="A105" s="6"/>
      <c r="B105" s="6"/>
      <c r="C105" s="6"/>
      <c r="D105" s="6"/>
      <c r="E105" s="6"/>
      <c r="F105" s="8"/>
      <c r="G105" s="6"/>
      <c r="H105" s="6"/>
      <c r="I105" s="6" t="str" cm="1">
        <f t="array" ref="I105">_xlfn.SWITCH(H105,"XS",1,"S",2,"M",3,"L",5,"XL",8,"XXL",13,"XXXL",21,"")</f>
        <v/>
      </c>
      <c r="J105" s="6"/>
      <c r="K105" s="6"/>
      <c r="L105" s="6"/>
    </row>
    <row r="106" spans="1:12" x14ac:dyDescent="0.3">
      <c r="A106" s="6"/>
      <c r="B106" s="6"/>
      <c r="C106" s="6"/>
      <c r="D106" s="6"/>
      <c r="E106" s="6"/>
      <c r="F106" s="8"/>
      <c r="G106" s="6"/>
      <c r="H106" s="6"/>
      <c r="I106" s="6" t="str" cm="1">
        <f t="array" ref="I106">_xlfn.SWITCH(H106,"XS",1,"S",2,"M",3,"L",5,"XL",8,"XXL",13,"XXXL",21,"")</f>
        <v/>
      </c>
      <c r="J106" s="6"/>
      <c r="K106" s="6"/>
      <c r="L106" s="6"/>
    </row>
    <row r="107" spans="1:12" x14ac:dyDescent="0.3">
      <c r="A107" s="6"/>
      <c r="B107" s="6"/>
      <c r="C107" s="6"/>
      <c r="D107" s="6"/>
      <c r="E107" s="6"/>
      <c r="F107" s="8"/>
      <c r="G107" s="6"/>
      <c r="H107" s="6"/>
      <c r="I107" s="6" t="str" cm="1">
        <f t="array" ref="I107">_xlfn.SWITCH(H107,"XS",1,"S",2,"M",3,"L",5,"XL",8,"XXL",13,"XXXL",21,"")</f>
        <v/>
      </c>
      <c r="J107" s="6"/>
      <c r="K107" s="6"/>
      <c r="L107" s="6"/>
    </row>
    <row r="108" spans="1:12" x14ac:dyDescent="0.3">
      <c r="A108" s="6"/>
      <c r="B108" s="6"/>
      <c r="C108" s="6"/>
      <c r="D108" s="6"/>
      <c r="E108" s="6"/>
      <c r="F108" s="8"/>
      <c r="G108" s="6"/>
      <c r="H108" s="6"/>
      <c r="I108" s="6" t="str" cm="1">
        <f t="array" ref="I108">_xlfn.SWITCH(H108,"XS",1,"S",2,"M",3,"L",5,"XL",8,"XXL",13,"XXXL",21,"")</f>
        <v/>
      </c>
      <c r="J108" s="6"/>
      <c r="K108" s="6"/>
      <c r="L108" s="6"/>
    </row>
    <row r="109" spans="1:12" x14ac:dyDescent="0.3">
      <c r="A109" s="6"/>
      <c r="B109" s="6"/>
      <c r="C109" s="6"/>
      <c r="D109" s="6"/>
      <c r="E109" s="6"/>
      <c r="F109" s="8"/>
      <c r="G109" s="6"/>
      <c r="H109" s="6"/>
      <c r="I109" s="6" t="str" cm="1">
        <f t="array" ref="I109">_xlfn.SWITCH(H109,"XS",1,"S",2,"M",3,"L",5,"XL",8,"XXL",13,"XXXL",21,"")</f>
        <v/>
      </c>
      <c r="J109" s="6"/>
      <c r="K109" s="6"/>
      <c r="L109" s="6"/>
    </row>
    <row r="110" spans="1:12" x14ac:dyDescent="0.3">
      <c r="A110" s="6"/>
      <c r="B110" s="6"/>
      <c r="C110" s="6"/>
      <c r="D110" s="6"/>
      <c r="E110" s="6"/>
      <c r="F110" s="8"/>
      <c r="G110" s="6"/>
      <c r="H110" s="6"/>
      <c r="I110" s="6" t="str" cm="1">
        <f t="array" ref="I110">_xlfn.SWITCH(H110,"XS",1,"S",2,"M",3,"L",5,"XL",8,"XXL",13,"XXXL",21,"")</f>
        <v/>
      </c>
      <c r="J110" s="6"/>
      <c r="K110" s="6"/>
      <c r="L110" s="6"/>
    </row>
    <row r="111" spans="1:12" x14ac:dyDescent="0.3">
      <c r="A111" s="6"/>
      <c r="B111" s="6"/>
      <c r="C111" s="6"/>
      <c r="D111" s="6"/>
      <c r="E111" s="6"/>
      <c r="F111" s="8"/>
      <c r="G111" s="6"/>
      <c r="H111" s="6"/>
      <c r="I111" s="6" t="str" cm="1">
        <f t="array" ref="I111">_xlfn.SWITCH(H111,"XS",1,"S",2,"M",3,"L",5,"XL",8,"XXL",13,"XXXL",21,"")</f>
        <v/>
      </c>
      <c r="J111" s="6"/>
      <c r="K111" s="6"/>
      <c r="L111" s="6"/>
    </row>
    <row r="112" spans="1:12" x14ac:dyDescent="0.3">
      <c r="A112" s="6"/>
      <c r="B112" s="6"/>
      <c r="C112" s="6"/>
      <c r="D112" s="6"/>
      <c r="E112" s="6"/>
      <c r="F112" s="8"/>
      <c r="G112" s="6"/>
      <c r="H112" s="6"/>
      <c r="I112" s="6" t="str" cm="1">
        <f t="array" ref="I112">_xlfn.SWITCH(H112,"XS",1,"S",2,"M",3,"L",5,"XL",8,"XXL",13,"XXXL",21,"")</f>
        <v/>
      </c>
      <c r="J112" s="6"/>
      <c r="K112" s="6"/>
      <c r="L112" s="6"/>
    </row>
  </sheetData>
  <autoFilter ref="E1:E112" xr:uid="{00000000-0001-0000-0000-000000000000}"/>
  <phoneticPr fontId="4" type="noConversion"/>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89B43-8ACA-4B5D-A185-0146C384427F}">
  <dimension ref="A1:L10"/>
  <sheetViews>
    <sheetView zoomScale="103" workbookViewId="0">
      <selection activeCell="E14" sqref="E14"/>
    </sheetView>
  </sheetViews>
  <sheetFormatPr defaultRowHeight="14.4" x14ac:dyDescent="0.3"/>
  <cols>
    <col min="1" max="1" width="4.88671875" style="1" bestFit="1" customWidth="1"/>
    <col min="2" max="2" width="10.88671875" style="1" bestFit="1" customWidth="1"/>
    <col min="3" max="3" width="9.77734375" style="3" customWidth="1"/>
    <col min="4" max="4" width="10.77734375" style="1" customWidth="1"/>
    <col min="5" max="5" width="8.88671875" style="1" customWidth="1"/>
  </cols>
  <sheetData>
    <row r="1" spans="1:12" ht="57.6" x14ac:dyDescent="0.3">
      <c r="A1" s="21" t="s">
        <v>12</v>
      </c>
      <c r="B1" s="21" t="s">
        <v>62</v>
      </c>
      <c r="C1" s="22" t="s">
        <v>13</v>
      </c>
      <c r="D1" s="22" t="s">
        <v>14</v>
      </c>
      <c r="E1" s="22" t="s">
        <v>15</v>
      </c>
    </row>
    <row r="2" spans="1:12" x14ac:dyDescent="0.3">
      <c r="A2" s="17">
        <v>0</v>
      </c>
      <c r="B2" s="18">
        <v>46237</v>
      </c>
      <c r="C2" s="19">
        <f>82-SUM(E$2:E2)</f>
        <v>82</v>
      </c>
      <c r="D2" s="20">
        <f xml:space="preserve"> 82*(1-1/8*A2)</f>
        <v>82</v>
      </c>
      <c r="E2" s="20">
        <v>0</v>
      </c>
    </row>
    <row r="3" spans="1:12" x14ac:dyDescent="0.3">
      <c r="A3" s="17">
        <v>1</v>
      </c>
      <c r="B3" s="18">
        <v>46238</v>
      </c>
      <c r="C3" s="19">
        <f>82-SUM(E$2:E3)</f>
        <v>74</v>
      </c>
      <c r="D3" s="20">
        <f t="shared" ref="D3:D10" si="0" xml:space="preserve"> 82*(1-1/8*A3)</f>
        <v>71.75</v>
      </c>
      <c r="E3" s="17">
        <v>8</v>
      </c>
    </row>
    <row r="4" spans="1:12" x14ac:dyDescent="0.3">
      <c r="A4" s="17">
        <v>2</v>
      </c>
      <c r="B4" s="18">
        <v>46239</v>
      </c>
      <c r="C4" s="19">
        <f>82-SUM(E$2:E4)</f>
        <v>66</v>
      </c>
      <c r="D4" s="20">
        <f t="shared" si="0"/>
        <v>61.5</v>
      </c>
      <c r="E4" s="17">
        <v>8</v>
      </c>
      <c r="L4" s="2"/>
    </row>
    <row r="5" spans="1:12" x14ac:dyDescent="0.3">
      <c r="A5" s="17">
        <v>3</v>
      </c>
      <c r="B5" s="18">
        <v>46240</v>
      </c>
      <c r="C5" s="19">
        <f>82-SUM(E$2:E5)</f>
        <v>66</v>
      </c>
      <c r="D5" s="20">
        <f t="shared" si="0"/>
        <v>51.25</v>
      </c>
      <c r="E5" s="17">
        <v>0</v>
      </c>
    </row>
    <row r="6" spans="1:12" x14ac:dyDescent="0.3">
      <c r="A6" s="17">
        <v>4</v>
      </c>
      <c r="B6" s="18">
        <v>46241</v>
      </c>
      <c r="C6" s="19">
        <f>82-SUM(E$2:E6)</f>
        <v>66</v>
      </c>
      <c r="D6" s="20">
        <f t="shared" si="0"/>
        <v>41</v>
      </c>
      <c r="E6" s="17">
        <v>0</v>
      </c>
    </row>
    <row r="7" spans="1:12" x14ac:dyDescent="0.3">
      <c r="A7" s="17">
        <v>5</v>
      </c>
      <c r="B7" s="18">
        <v>46244</v>
      </c>
      <c r="C7" s="19">
        <f>82-SUM(E$2:E7)</f>
        <v>62</v>
      </c>
      <c r="D7" s="20">
        <f t="shared" si="0"/>
        <v>30.75</v>
      </c>
      <c r="E7" s="17">
        <v>4</v>
      </c>
    </row>
    <row r="8" spans="1:12" x14ac:dyDescent="0.3">
      <c r="A8" s="17">
        <v>6</v>
      </c>
      <c r="B8" s="18">
        <v>46245</v>
      </c>
      <c r="C8" s="19">
        <f>82-SUM(E$2:E8)</f>
        <v>52</v>
      </c>
      <c r="D8" s="20">
        <f t="shared" si="0"/>
        <v>20.5</v>
      </c>
      <c r="E8" s="17">
        <v>10</v>
      </c>
    </row>
    <row r="9" spans="1:12" x14ac:dyDescent="0.3">
      <c r="A9" s="17">
        <v>7</v>
      </c>
      <c r="B9" s="18">
        <v>46246</v>
      </c>
      <c r="C9" s="19">
        <f>82-SUM(E$2:E9)</f>
        <v>37</v>
      </c>
      <c r="D9" s="20">
        <f t="shared" si="0"/>
        <v>10.25</v>
      </c>
      <c r="E9" s="17">
        <v>15</v>
      </c>
    </row>
    <row r="10" spans="1:12" x14ac:dyDescent="0.3">
      <c r="A10" s="17">
        <v>8</v>
      </c>
      <c r="B10" s="18">
        <v>46247</v>
      </c>
      <c r="C10" s="19">
        <f>82-SUM(E$2:E10)</f>
        <v>0</v>
      </c>
      <c r="D10" s="20">
        <f t="shared" si="0"/>
        <v>0</v>
      </c>
      <c r="E10" s="17">
        <v>37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CC14B-072D-418C-AC55-CBC1D249798C}">
  <dimension ref="A1:L110"/>
  <sheetViews>
    <sheetView workbookViewId="0">
      <selection activeCell="F3" sqref="F3"/>
    </sheetView>
  </sheetViews>
  <sheetFormatPr defaultRowHeight="14.4" x14ac:dyDescent="0.3"/>
  <cols>
    <col min="1" max="1" width="6.88671875" bestFit="1" customWidth="1"/>
    <col min="2" max="2" width="13.109375" bestFit="1" customWidth="1"/>
    <col min="3" max="3" width="7.44140625" bestFit="1" customWidth="1"/>
    <col min="4" max="4" width="11.109375" customWidth="1"/>
    <col min="5" max="5" width="8.33203125" bestFit="1" customWidth="1"/>
    <col min="6" max="6" width="99.44140625" bestFit="1" customWidth="1"/>
    <col min="7" max="7" width="8" bestFit="1" customWidth="1"/>
    <col min="8" max="8" width="7.109375" bestFit="1" customWidth="1"/>
    <col min="9" max="9" width="6" bestFit="1" customWidth="1"/>
    <col min="10" max="10" width="6.77734375" bestFit="1" customWidth="1"/>
    <col min="11" max="11" width="8" bestFit="1" customWidth="1"/>
    <col min="12" max="12" width="5.77734375" bestFit="1" customWidth="1"/>
  </cols>
  <sheetData>
    <row r="1" spans="1:12" ht="46.8" x14ac:dyDescent="0.3">
      <c r="A1" s="4" t="s">
        <v>11</v>
      </c>
      <c r="B1" s="4" t="s">
        <v>0</v>
      </c>
      <c r="C1" s="4" t="s">
        <v>1</v>
      </c>
      <c r="D1" s="4" t="s">
        <v>2</v>
      </c>
      <c r="E1" s="4" t="s">
        <v>10</v>
      </c>
      <c r="F1" s="4" t="s">
        <v>3</v>
      </c>
      <c r="G1" s="4" t="s">
        <v>4</v>
      </c>
      <c r="H1" s="4" t="s">
        <v>8</v>
      </c>
      <c r="I1" s="4" t="s">
        <v>9</v>
      </c>
      <c r="J1" s="4" t="s">
        <v>5</v>
      </c>
      <c r="K1" s="4" t="s">
        <v>6</v>
      </c>
      <c r="L1" s="4" t="s">
        <v>7</v>
      </c>
    </row>
    <row r="2" spans="1:12" ht="172.8" x14ac:dyDescent="0.3">
      <c r="A2" s="12">
        <v>1</v>
      </c>
      <c r="B2" s="12" t="s">
        <v>94</v>
      </c>
      <c r="C2" s="12" t="s">
        <v>89</v>
      </c>
      <c r="D2" s="12"/>
      <c r="E2" s="12" t="s">
        <v>31</v>
      </c>
      <c r="F2" s="13" t="s">
        <v>100</v>
      </c>
      <c r="G2" s="12" t="s">
        <v>29</v>
      </c>
      <c r="H2" s="12" t="s">
        <v>27</v>
      </c>
      <c r="I2" s="12">
        <f t="array" ref="I2">_xlfn.SWITCH(H2,"XS",1,"S",2,"M",3,"L",5,"XL",8,"XXL",13,"XXXL",21,"")</f>
        <v>3</v>
      </c>
      <c r="J2" s="12" t="s">
        <v>76</v>
      </c>
      <c r="K2" s="12"/>
      <c r="L2" s="12"/>
    </row>
    <row r="3" spans="1:12" ht="158.4" x14ac:dyDescent="0.3">
      <c r="A3" s="12">
        <v>2</v>
      </c>
      <c r="B3" s="12" t="s">
        <v>94</v>
      </c>
      <c r="C3" s="12" t="s">
        <v>91</v>
      </c>
      <c r="D3" s="12"/>
      <c r="E3" s="12" t="s">
        <v>31</v>
      </c>
      <c r="F3" s="13" t="s">
        <v>115</v>
      </c>
      <c r="G3" s="12" t="s">
        <v>29</v>
      </c>
      <c r="H3" s="12" t="s">
        <v>27</v>
      </c>
      <c r="I3" s="12">
        <f t="array" ref="I3">_xlfn.SWITCH(H3,"XS",1,"S",2,"M",3,"L",5,"XL",8,"XXL",13,"XXXL",21,"")</f>
        <v>3</v>
      </c>
      <c r="J3" s="12" t="s">
        <v>76</v>
      </c>
      <c r="K3" s="12"/>
      <c r="L3" s="12"/>
    </row>
    <row r="4" spans="1:12" ht="403.2" x14ac:dyDescent="0.3">
      <c r="A4" s="12">
        <v>3</v>
      </c>
      <c r="B4" s="12" t="s">
        <v>94</v>
      </c>
      <c r="C4" s="12" t="s">
        <v>89</v>
      </c>
      <c r="D4" s="12"/>
      <c r="E4" s="12" t="s">
        <v>31</v>
      </c>
      <c r="F4" s="16" t="s">
        <v>105</v>
      </c>
      <c r="G4" s="12" t="s">
        <v>29</v>
      </c>
      <c r="H4" s="12" t="s">
        <v>30</v>
      </c>
      <c r="I4" s="12">
        <f t="array" ref="I4">_xlfn.SWITCH(H4,"XS",1,"S",2,"M",3,"L",5,"XL",8,"XXL",13,"XXXL",21,"")</f>
        <v>5</v>
      </c>
      <c r="J4" s="12"/>
      <c r="K4" s="12"/>
      <c r="L4" s="12"/>
    </row>
    <row r="5" spans="1:12" ht="409.6" x14ac:dyDescent="0.3">
      <c r="A5" s="12">
        <v>4</v>
      </c>
      <c r="B5" s="12" t="s">
        <v>94</v>
      </c>
      <c r="C5" s="12" t="s">
        <v>91</v>
      </c>
      <c r="D5" s="12"/>
      <c r="E5" s="12" t="s">
        <v>31</v>
      </c>
      <c r="F5" s="16" t="s">
        <v>104</v>
      </c>
      <c r="G5" s="12" t="s">
        <v>29</v>
      </c>
      <c r="H5" s="12" t="s">
        <v>30</v>
      </c>
      <c r="I5" s="12">
        <f t="array" ref="I5">_xlfn.SWITCH(H5,"XS",1,"S",2,"M",3,"L",5,"XL",8,"XXL",13,"XXXL",21,"")</f>
        <v>5</v>
      </c>
      <c r="J5" s="12"/>
      <c r="K5" s="12"/>
      <c r="L5" s="12"/>
    </row>
    <row r="6" spans="1:12" ht="187.2" x14ac:dyDescent="0.3">
      <c r="A6" s="12">
        <v>5</v>
      </c>
      <c r="B6" s="12" t="s">
        <v>94</v>
      </c>
      <c r="C6" s="12" t="s">
        <v>90</v>
      </c>
      <c r="D6" s="12"/>
      <c r="E6" s="12" t="s">
        <v>22</v>
      </c>
      <c r="F6" s="16" t="s">
        <v>101</v>
      </c>
      <c r="G6" s="12" t="s">
        <v>29</v>
      </c>
      <c r="H6" s="12" t="s">
        <v>30</v>
      </c>
      <c r="I6" s="12">
        <f t="array" ref="I6">_xlfn.SWITCH(H6,"XS",1,"S",2,"M",3,"L",5,"XL",8,"XXL",13,"XXXL",21,"")</f>
        <v>5</v>
      </c>
      <c r="J6" s="12" t="s">
        <v>76</v>
      </c>
      <c r="K6" s="12"/>
      <c r="L6" s="12"/>
    </row>
    <row r="7" spans="1:12" ht="144" x14ac:dyDescent="0.3">
      <c r="A7" s="12">
        <v>6</v>
      </c>
      <c r="B7" s="12" t="s">
        <v>94</v>
      </c>
      <c r="C7" s="12" t="s">
        <v>92</v>
      </c>
      <c r="D7" s="12"/>
      <c r="E7" s="12" t="s">
        <v>20</v>
      </c>
      <c r="F7" s="16" t="s">
        <v>93</v>
      </c>
      <c r="G7" s="12" t="s">
        <v>29</v>
      </c>
      <c r="H7" s="12" t="s">
        <v>23</v>
      </c>
      <c r="I7" s="12">
        <f t="array" ref="I7">_xlfn.SWITCH(H7,"XS",1,"S",2,"M",3,"L",5,"XL",8,"XXL",13,"XXXL",21,"")</f>
        <v>2</v>
      </c>
      <c r="J7" s="12" t="s">
        <v>76</v>
      </c>
      <c r="K7" s="12"/>
      <c r="L7" s="12"/>
    </row>
    <row r="8" spans="1:12" ht="144" x14ac:dyDescent="0.3">
      <c r="A8" s="12">
        <v>7</v>
      </c>
      <c r="B8" s="12" t="s">
        <v>94</v>
      </c>
      <c r="C8" s="12" t="s">
        <v>95</v>
      </c>
      <c r="D8" s="12"/>
      <c r="E8" s="12" t="s">
        <v>20</v>
      </c>
      <c r="F8" s="13" t="s">
        <v>102</v>
      </c>
      <c r="G8" s="12" t="s">
        <v>29</v>
      </c>
      <c r="H8" s="12" t="s">
        <v>27</v>
      </c>
      <c r="I8" s="12">
        <f t="array" ref="I8">_xlfn.SWITCH(H8,"XS",1,"S",2,"M",3,"L",5,"XL",8,"XXL",13,"XXXL",21,"")</f>
        <v>3</v>
      </c>
      <c r="J8" s="12" t="s">
        <v>76</v>
      </c>
      <c r="K8" s="12"/>
      <c r="L8" s="12"/>
    </row>
    <row r="9" spans="1:12" ht="100.8" x14ac:dyDescent="0.3">
      <c r="A9" s="12">
        <v>8</v>
      </c>
      <c r="B9" s="12" t="s">
        <v>94</v>
      </c>
      <c r="C9" s="12">
        <v>6.5</v>
      </c>
      <c r="D9" s="12"/>
      <c r="E9" s="12" t="s">
        <v>20</v>
      </c>
      <c r="F9" s="16" t="s">
        <v>96</v>
      </c>
      <c r="G9" s="12" t="s">
        <v>29</v>
      </c>
      <c r="H9" s="12" t="s">
        <v>23</v>
      </c>
      <c r="I9" s="12">
        <f t="array" ref="I9">_xlfn.SWITCH(H9,"XS",1,"S",2,"M",3,"L",5,"XL",8,"XXL",13,"XXXL",21,"")</f>
        <v>2</v>
      </c>
      <c r="J9" s="12" t="s">
        <v>76</v>
      </c>
      <c r="K9" s="12"/>
      <c r="L9" s="12"/>
    </row>
    <row r="10" spans="1:12" ht="115.2" x14ac:dyDescent="0.3">
      <c r="A10" s="12">
        <v>9</v>
      </c>
      <c r="B10" s="12" t="s">
        <v>94</v>
      </c>
      <c r="C10" s="12" t="s">
        <v>97</v>
      </c>
      <c r="D10" s="12"/>
      <c r="E10" s="12" t="s">
        <v>20</v>
      </c>
      <c r="F10" s="13" t="s">
        <v>103</v>
      </c>
      <c r="G10" s="12" t="s">
        <v>29</v>
      </c>
      <c r="H10" s="12" t="s">
        <v>27</v>
      </c>
      <c r="I10" s="12">
        <f t="array" ref="I10">_xlfn.SWITCH(H10,"XS",1,"S",2,"M",3,"L",5,"XL",8,"XXL",13,"XXXL",21,"")</f>
        <v>3</v>
      </c>
      <c r="J10" s="12" t="s">
        <v>76</v>
      </c>
      <c r="K10" s="12"/>
      <c r="L10" s="12"/>
    </row>
    <row r="11" spans="1:12" ht="230.4" x14ac:dyDescent="0.3">
      <c r="A11" s="14">
        <v>10</v>
      </c>
      <c r="B11" s="14" t="s">
        <v>77</v>
      </c>
      <c r="C11" s="14">
        <v>19.3</v>
      </c>
      <c r="D11" s="14" t="s">
        <v>78</v>
      </c>
      <c r="E11" s="14" t="s">
        <v>20</v>
      </c>
      <c r="F11" s="15" t="s">
        <v>116</v>
      </c>
      <c r="G11" s="14" t="s">
        <v>24</v>
      </c>
      <c r="H11" s="14" t="s">
        <v>27</v>
      </c>
      <c r="I11" s="14">
        <f t="array" ref="I11">_xlfn.SWITCH(H11,"XS",1,"S",2,"M",3,"L",5,"XL",8,"XXL",13,"XXXL",21,"")</f>
        <v>3</v>
      </c>
      <c r="J11" s="14" t="s">
        <v>76</v>
      </c>
      <c r="K11" s="14"/>
      <c r="L11" s="14"/>
    </row>
    <row r="12" spans="1:12" ht="288" x14ac:dyDescent="0.3">
      <c r="A12" s="14">
        <v>11</v>
      </c>
      <c r="B12" s="14" t="s">
        <v>77</v>
      </c>
      <c r="C12" s="14">
        <v>19.3</v>
      </c>
      <c r="D12" s="14" t="s">
        <v>79</v>
      </c>
      <c r="E12" s="14" t="s">
        <v>20</v>
      </c>
      <c r="F12" s="15" t="s">
        <v>117</v>
      </c>
      <c r="G12" s="14" t="s">
        <v>24</v>
      </c>
      <c r="H12" s="14" t="s">
        <v>30</v>
      </c>
      <c r="I12" s="14">
        <f t="array" ref="I12">_xlfn.SWITCH(H12,"XS",1,"S",2,"M",3,"L",5,"XL",8,"XXL",13,"XXXL",21,"")</f>
        <v>5</v>
      </c>
      <c r="J12" s="14" t="s">
        <v>76</v>
      </c>
      <c r="K12" s="14"/>
      <c r="L12" s="14"/>
    </row>
    <row r="13" spans="1:12" ht="316.8" x14ac:dyDescent="0.3">
      <c r="A13" s="14">
        <v>12</v>
      </c>
      <c r="B13" s="14" t="s">
        <v>80</v>
      </c>
      <c r="C13" s="14">
        <v>20.3</v>
      </c>
      <c r="D13" s="14" t="s">
        <v>81</v>
      </c>
      <c r="E13" s="14" t="s">
        <v>20</v>
      </c>
      <c r="F13" s="15" t="s">
        <v>118</v>
      </c>
      <c r="G13" s="14" t="s">
        <v>24</v>
      </c>
      <c r="H13" s="14" t="s">
        <v>30</v>
      </c>
      <c r="I13" s="14">
        <f t="array" ref="I13">_xlfn.SWITCH(H13,"XS",1,"S",2,"M",3,"L",5,"XL",8,"XXL",13,"XXXL",21,"")</f>
        <v>5</v>
      </c>
      <c r="J13" s="14" t="s">
        <v>76</v>
      </c>
      <c r="K13" s="14"/>
      <c r="L13" s="14"/>
    </row>
    <row r="14" spans="1:12" ht="187.2" x14ac:dyDescent="0.3">
      <c r="A14" s="14">
        <v>13</v>
      </c>
      <c r="B14" s="14" t="s">
        <v>80</v>
      </c>
      <c r="C14" s="14">
        <v>20.3</v>
      </c>
      <c r="D14" s="14" t="s">
        <v>82</v>
      </c>
      <c r="E14" s="14" t="s">
        <v>20</v>
      </c>
      <c r="F14" s="15" t="s">
        <v>119</v>
      </c>
      <c r="G14" s="14" t="s">
        <v>24</v>
      </c>
      <c r="H14" s="14" t="s">
        <v>27</v>
      </c>
      <c r="I14" s="14">
        <f t="array" ref="I14">_xlfn.SWITCH(H14,"XS",1,"S",2,"M",3,"L",5,"XL",8,"XXL",13,"XXXL",21,"")</f>
        <v>3</v>
      </c>
      <c r="J14" s="14" t="s">
        <v>76</v>
      </c>
      <c r="K14" s="14"/>
      <c r="L14" s="14"/>
    </row>
    <row r="15" spans="1:12" ht="244.8" x14ac:dyDescent="0.3">
      <c r="A15" s="6">
        <v>14</v>
      </c>
      <c r="B15" s="6" t="s">
        <v>77</v>
      </c>
      <c r="C15" s="6">
        <v>19.3</v>
      </c>
      <c r="D15" s="6" t="s">
        <v>83</v>
      </c>
      <c r="E15" s="6" t="s">
        <v>31</v>
      </c>
      <c r="F15" s="8" t="s">
        <v>113</v>
      </c>
      <c r="G15" s="6" t="s">
        <v>29</v>
      </c>
      <c r="H15" s="6" t="s">
        <v>30</v>
      </c>
      <c r="I15" s="6">
        <f t="array" ref="I15">_xlfn.SWITCH(H15,"XS",1,"S",2,"M",3,"L",5,"XL",8,"XXL",13,"XXXL",21,"")</f>
        <v>5</v>
      </c>
      <c r="J15" s="6"/>
      <c r="K15" s="6"/>
      <c r="L15" s="6"/>
    </row>
    <row r="16" spans="1:12" ht="230.4" x14ac:dyDescent="0.3">
      <c r="A16" s="6">
        <v>15</v>
      </c>
      <c r="B16" s="6" t="s">
        <v>80</v>
      </c>
      <c r="C16" s="6">
        <v>20.3</v>
      </c>
      <c r="D16" s="6" t="s">
        <v>84</v>
      </c>
      <c r="E16" s="6" t="s">
        <v>31</v>
      </c>
      <c r="F16" s="8" t="s">
        <v>112</v>
      </c>
      <c r="G16" s="6" t="s">
        <v>29</v>
      </c>
      <c r="H16" s="6" t="s">
        <v>30</v>
      </c>
      <c r="I16" s="6">
        <f t="array" ref="I16">_xlfn.SWITCH(H16,"XS",1,"S",2,"M",3,"L",5,"XL",8,"XXL",13,"XXXL",21,"")</f>
        <v>5</v>
      </c>
      <c r="J16" s="6"/>
      <c r="K16" s="6"/>
      <c r="L16" s="6"/>
    </row>
    <row r="17" spans="1:12" ht="244.8" x14ac:dyDescent="0.3">
      <c r="A17" s="6">
        <v>16</v>
      </c>
      <c r="B17" s="6" t="s">
        <v>80</v>
      </c>
      <c r="C17" s="6">
        <v>20.399999999999999</v>
      </c>
      <c r="D17" s="6" t="s">
        <v>85</v>
      </c>
      <c r="E17" s="6" t="s">
        <v>31</v>
      </c>
      <c r="F17" s="8" t="s">
        <v>114</v>
      </c>
      <c r="G17" s="6" t="s">
        <v>29</v>
      </c>
      <c r="H17" s="6" t="s">
        <v>30</v>
      </c>
      <c r="I17" s="6">
        <f t="array" ref="I17">_xlfn.SWITCH(H17,"XS",1,"S",2,"M",3,"L",5,"XL",8,"XXL",13,"XXXL",21,"")</f>
        <v>5</v>
      </c>
      <c r="J17" s="6"/>
      <c r="K17" s="6"/>
      <c r="L17" s="6"/>
    </row>
    <row r="18" spans="1:12" ht="316.8" x14ac:dyDescent="0.3">
      <c r="A18" s="6">
        <v>17</v>
      </c>
      <c r="B18" s="6" t="s">
        <v>86</v>
      </c>
      <c r="C18" s="6" t="s">
        <v>98</v>
      </c>
      <c r="D18" s="6" t="s">
        <v>87</v>
      </c>
      <c r="E18" s="6" t="s">
        <v>31</v>
      </c>
      <c r="F18" s="8" t="s">
        <v>110</v>
      </c>
      <c r="G18" s="6" t="s">
        <v>29</v>
      </c>
      <c r="H18" s="6" t="s">
        <v>30</v>
      </c>
      <c r="I18" s="6">
        <f t="array" ref="I18">_xlfn.SWITCH(H18,"XS",1,"S",2,"M",3,"L",5,"XL",8,"XXL",13,"XXXL",21,"")</f>
        <v>5</v>
      </c>
      <c r="J18" s="6"/>
      <c r="K18" s="6"/>
      <c r="L18" s="6"/>
    </row>
    <row r="19" spans="1:12" ht="345.6" x14ac:dyDescent="0.3">
      <c r="A19" s="6">
        <v>18</v>
      </c>
      <c r="B19" s="6" t="s">
        <v>86</v>
      </c>
      <c r="C19" s="6" t="s">
        <v>99</v>
      </c>
      <c r="D19" s="6" t="s">
        <v>88</v>
      </c>
      <c r="E19" s="6" t="s">
        <v>31</v>
      </c>
      <c r="F19" s="8" t="s">
        <v>111</v>
      </c>
      <c r="G19" s="6" t="s">
        <v>29</v>
      </c>
      <c r="H19" s="6" t="s">
        <v>30</v>
      </c>
      <c r="I19" s="6">
        <f t="array" ref="I19">_xlfn.SWITCH(H19,"XS",1,"S",2,"M",3,"L",5,"XL",8,"XXL",13,"XXXL",21,"")</f>
        <v>5</v>
      </c>
      <c r="J19" s="6"/>
      <c r="K19" s="6"/>
      <c r="L19" s="6"/>
    </row>
    <row r="20" spans="1:12" ht="409.6" x14ac:dyDescent="0.3">
      <c r="A20" s="6">
        <v>19</v>
      </c>
      <c r="B20" s="6" t="s">
        <v>86</v>
      </c>
      <c r="C20" s="6" t="s">
        <v>106</v>
      </c>
      <c r="D20" s="6"/>
      <c r="E20" s="6" t="s">
        <v>31</v>
      </c>
      <c r="F20" s="8" t="s">
        <v>108</v>
      </c>
      <c r="G20" s="6" t="s">
        <v>24</v>
      </c>
      <c r="H20" s="6" t="s">
        <v>23</v>
      </c>
      <c r="I20" s="6">
        <f t="array" ref="I20">_xlfn.SWITCH(H20,"XS",1,"S",2,"M",3,"L",5,"XL",8,"XXL",13,"XXXL",21,"")</f>
        <v>2</v>
      </c>
      <c r="J20" s="6"/>
      <c r="K20" s="6"/>
      <c r="L20" s="6"/>
    </row>
    <row r="21" spans="1:12" ht="409.6" x14ac:dyDescent="0.3">
      <c r="A21" s="6">
        <v>20</v>
      </c>
      <c r="B21" s="6" t="s">
        <v>86</v>
      </c>
      <c r="C21" s="6" t="s">
        <v>107</v>
      </c>
      <c r="D21" s="6"/>
      <c r="E21" s="6" t="s">
        <v>31</v>
      </c>
      <c r="F21" s="8" t="s">
        <v>109</v>
      </c>
      <c r="G21" s="6" t="s">
        <v>24</v>
      </c>
      <c r="H21" s="6" t="s">
        <v>19</v>
      </c>
      <c r="I21" s="6">
        <f t="array" ref="I21">_xlfn.SWITCH(H21,"XS",1,"S",2,"M",3,"L",5,"XL",8,"XXL",13,"XXXL",21,"")</f>
        <v>1</v>
      </c>
      <c r="J21" s="6"/>
      <c r="K21" s="6"/>
      <c r="L21" s="6"/>
    </row>
    <row r="22" spans="1:12" x14ac:dyDescent="0.3">
      <c r="A22" s="6"/>
      <c r="B22" s="6"/>
      <c r="C22" s="6"/>
      <c r="D22" s="6"/>
      <c r="E22" s="6"/>
      <c r="F22" s="8"/>
      <c r="G22" s="6"/>
      <c r="H22" s="6"/>
      <c r="I22" s="6"/>
      <c r="J22" s="6"/>
      <c r="K22" s="6"/>
      <c r="L22" s="6"/>
    </row>
    <row r="23" spans="1:12" x14ac:dyDescent="0.3">
      <c r="A23" s="6"/>
      <c r="B23" s="6"/>
      <c r="C23" s="6"/>
      <c r="D23" s="6"/>
      <c r="E23" s="6"/>
      <c r="F23" s="8"/>
      <c r="G23" s="6"/>
      <c r="H23" s="6"/>
      <c r="I23" s="6"/>
      <c r="J23" s="6"/>
      <c r="K23" s="6"/>
      <c r="L23" s="6"/>
    </row>
    <row r="24" spans="1:12" x14ac:dyDescent="0.3">
      <c r="A24" s="6"/>
      <c r="B24" s="6"/>
      <c r="C24" s="6"/>
      <c r="D24" s="6"/>
      <c r="E24" s="6"/>
      <c r="F24" s="8"/>
      <c r="G24" s="6"/>
      <c r="H24" s="6"/>
      <c r="I24" s="6" t="str">
        <f t="array" ref="I24">_xlfn.SWITCH(H24,"XS",1,"S",2,"M",3,"L",5,"XL",8,"XXL",13,"XXXL",21,"")</f>
        <v/>
      </c>
      <c r="J24" s="6"/>
      <c r="K24" s="6"/>
      <c r="L24" s="6"/>
    </row>
    <row r="25" spans="1:12" x14ac:dyDescent="0.3">
      <c r="A25" s="6"/>
      <c r="B25" s="6"/>
      <c r="C25" s="6"/>
      <c r="D25" s="6"/>
      <c r="E25" s="6"/>
      <c r="F25" s="8"/>
      <c r="G25" s="6"/>
      <c r="H25" s="6"/>
      <c r="I25" s="6" t="str">
        <f t="array" ref="I25">_xlfn.SWITCH(H25,"XS",1,"S",2,"M",3,"L",5,"XL",8,"XXL",13,"XXXL",21,"")</f>
        <v/>
      </c>
      <c r="J25" s="6"/>
      <c r="K25" s="6"/>
      <c r="L25" s="6"/>
    </row>
    <row r="26" spans="1:12" x14ac:dyDescent="0.3">
      <c r="A26" s="6"/>
      <c r="B26" s="6"/>
      <c r="C26" s="6"/>
      <c r="D26" s="6"/>
      <c r="E26" s="6"/>
      <c r="F26" s="8"/>
      <c r="G26" s="6"/>
      <c r="H26" s="6"/>
      <c r="I26" s="6" t="str">
        <f t="array" ref="I26">_xlfn.SWITCH(H26,"XS",1,"S",2,"M",3,"L",5,"XL",8,"XXL",13,"XXXL",21,"")</f>
        <v/>
      </c>
      <c r="J26" s="6"/>
      <c r="K26" s="6"/>
      <c r="L26" s="6"/>
    </row>
    <row r="27" spans="1:12" x14ac:dyDescent="0.3">
      <c r="A27" s="6"/>
      <c r="B27" s="6"/>
      <c r="C27" s="6"/>
      <c r="D27" s="6"/>
      <c r="E27" s="6"/>
      <c r="F27" s="8"/>
      <c r="G27" s="6"/>
      <c r="H27" s="6"/>
      <c r="I27" s="6" t="str">
        <f t="array" ref="I27">_xlfn.SWITCH(H27,"XS",1,"S",2,"M",3,"L",5,"XL",8,"XXL",13,"XXXL",21,"")</f>
        <v/>
      </c>
      <c r="J27" s="6"/>
      <c r="K27" s="6"/>
      <c r="L27" s="6"/>
    </row>
    <row r="28" spans="1:12" x14ac:dyDescent="0.3">
      <c r="A28" s="6"/>
      <c r="B28" s="6"/>
      <c r="C28" s="6"/>
      <c r="D28" s="6"/>
      <c r="E28" s="6"/>
      <c r="F28" s="8"/>
      <c r="G28" s="6"/>
      <c r="H28" s="6"/>
      <c r="I28" s="6" t="str">
        <f t="array" ref="I28">_xlfn.SWITCH(H28,"XS",1,"S",2,"M",3,"L",5,"XL",8,"XXL",13,"XXXL",21,"")</f>
        <v/>
      </c>
      <c r="J28" s="6"/>
      <c r="K28" s="6"/>
      <c r="L28" s="6"/>
    </row>
    <row r="29" spans="1:12" x14ac:dyDescent="0.3">
      <c r="A29" s="6"/>
      <c r="B29" s="6"/>
      <c r="C29" s="6"/>
      <c r="D29" s="6"/>
      <c r="E29" s="6"/>
      <c r="F29" s="8"/>
      <c r="G29" s="6"/>
      <c r="H29" s="6"/>
      <c r="I29" s="6" t="str">
        <f t="array" ref="I29">_xlfn.SWITCH(H29,"XS",1,"S",2,"M",3,"L",5,"XL",8,"XXL",13,"XXXL",21,"")</f>
        <v/>
      </c>
      <c r="J29" s="6"/>
      <c r="K29" s="6"/>
      <c r="L29" s="6"/>
    </row>
    <row r="30" spans="1:12" x14ac:dyDescent="0.3">
      <c r="A30" s="6"/>
      <c r="B30" s="6"/>
      <c r="C30" s="6"/>
      <c r="D30" s="6"/>
      <c r="E30" s="6"/>
      <c r="F30" s="8"/>
      <c r="G30" s="6"/>
      <c r="H30" s="6"/>
      <c r="I30" s="6" t="str">
        <f t="array" ref="I30">_xlfn.SWITCH(H30,"XS",1,"S",2,"M",3,"L",5,"XL",8,"XXL",13,"XXXL",21,"")</f>
        <v/>
      </c>
      <c r="J30" s="6"/>
      <c r="K30" s="6"/>
      <c r="L30" s="6"/>
    </row>
    <row r="31" spans="1:12" x14ac:dyDescent="0.3">
      <c r="A31" s="6"/>
      <c r="B31" s="6"/>
      <c r="C31" s="6"/>
      <c r="D31" s="6"/>
      <c r="E31" s="6"/>
      <c r="F31" s="5"/>
      <c r="G31" s="6"/>
      <c r="H31" s="6"/>
      <c r="I31" s="6" t="str">
        <f t="array" ref="I31">_xlfn.SWITCH(H31,"XS",1,"S",2,"M",3,"L",5,"XL",8,"XXL",13,"XXXL",21,"")</f>
        <v/>
      </c>
      <c r="J31" s="6"/>
      <c r="K31" s="6"/>
      <c r="L31" s="6"/>
    </row>
    <row r="32" spans="1:12" x14ac:dyDescent="0.3">
      <c r="A32" s="6"/>
      <c r="B32" s="6"/>
      <c r="C32" s="6"/>
      <c r="D32" s="6"/>
      <c r="E32" s="6"/>
      <c r="F32" s="7"/>
      <c r="G32" s="6"/>
      <c r="H32" s="6"/>
      <c r="I32" s="6" t="str">
        <f t="array" ref="I32">_xlfn.SWITCH(H32,"XS",1,"S",2,"M",3,"L",5,"XL",8,"XXL",13,"XXXL",21,"")</f>
        <v/>
      </c>
      <c r="J32" s="6"/>
      <c r="K32" s="6"/>
      <c r="L32" s="6"/>
    </row>
    <row r="33" spans="1:12" x14ac:dyDescent="0.3">
      <c r="A33" s="6"/>
      <c r="B33" s="6"/>
      <c r="C33" s="6"/>
      <c r="D33" s="6"/>
      <c r="E33" s="6"/>
      <c r="F33" s="7"/>
      <c r="G33" s="6"/>
      <c r="H33" s="6"/>
      <c r="I33" s="6" t="str">
        <f t="array" ref="I33">_xlfn.SWITCH(H33,"XS",1,"S",2,"M",3,"L",5,"XL",8,"XXL",13,"XXXL",21,"")</f>
        <v/>
      </c>
      <c r="J33" s="6"/>
      <c r="K33" s="6"/>
      <c r="L33" s="6"/>
    </row>
    <row r="34" spans="1:12" x14ac:dyDescent="0.3">
      <c r="A34" s="6"/>
      <c r="B34" s="6"/>
      <c r="C34" s="6"/>
      <c r="D34" s="6"/>
      <c r="E34" s="6"/>
      <c r="F34" s="7"/>
      <c r="G34" s="6"/>
      <c r="H34" s="6"/>
      <c r="I34" s="6" t="str">
        <f t="array" ref="I34">_xlfn.SWITCH(H34,"XS",1,"S",2,"M",3,"L",5,"XL",8,"XXL",13,"XXXL",21,"")</f>
        <v/>
      </c>
      <c r="J34" s="6"/>
      <c r="K34" s="6"/>
      <c r="L34" s="6"/>
    </row>
    <row r="35" spans="1:12" x14ac:dyDescent="0.3">
      <c r="A35" s="6"/>
      <c r="B35" s="6"/>
      <c r="C35" s="6"/>
      <c r="D35" s="6"/>
      <c r="E35" s="6"/>
      <c r="F35" s="7"/>
      <c r="G35" s="6"/>
      <c r="H35" s="6"/>
      <c r="I35" s="6" t="str">
        <f t="array" ref="I35">_xlfn.SWITCH(H35,"XS",1,"S",2,"M",3,"L",5,"XL",8,"XXL",13,"XXXL",21,"")</f>
        <v/>
      </c>
      <c r="J35" s="6"/>
      <c r="K35" s="6"/>
      <c r="L35" s="6"/>
    </row>
    <row r="36" spans="1:12" x14ac:dyDescent="0.3">
      <c r="A36" s="6"/>
      <c r="B36" s="6"/>
      <c r="C36" s="6"/>
      <c r="D36" s="6"/>
      <c r="E36" s="6"/>
      <c r="F36" s="7"/>
      <c r="G36" s="6"/>
      <c r="H36" s="6"/>
      <c r="I36" s="6" t="str">
        <f t="array" ref="I36">_xlfn.SWITCH(H36,"XS",1,"S",2,"M",3,"L",5,"XL",8,"XXL",13,"XXXL",21,"")</f>
        <v/>
      </c>
      <c r="J36" s="6"/>
      <c r="K36" s="6"/>
      <c r="L36" s="6"/>
    </row>
    <row r="37" spans="1:12" x14ac:dyDescent="0.3">
      <c r="A37" s="6"/>
      <c r="B37" s="6"/>
      <c r="C37" s="6"/>
      <c r="D37" s="6"/>
      <c r="E37" s="6"/>
      <c r="F37" s="7"/>
      <c r="G37" s="6"/>
      <c r="H37" s="6"/>
      <c r="I37" s="6" t="str">
        <f t="array" ref="I37">_xlfn.SWITCH(H37,"XS",1,"S",2,"M",3,"L",5,"XL",8,"XXL",13,"XXXL",21,"")</f>
        <v/>
      </c>
      <c r="J37" s="6"/>
      <c r="K37" s="6"/>
      <c r="L37" s="6"/>
    </row>
    <row r="38" spans="1:12" x14ac:dyDescent="0.3">
      <c r="A38" s="6"/>
      <c r="B38" s="6"/>
      <c r="C38" s="6"/>
      <c r="D38" s="6"/>
      <c r="E38" s="6"/>
      <c r="F38" s="7"/>
      <c r="G38" s="6"/>
      <c r="H38" s="6"/>
      <c r="I38" s="6" t="str">
        <f t="array" ref="I38">_xlfn.SWITCH(H38,"XS",1,"S",2,"M",3,"L",5,"XL",8,"XXL",13,"XXXL",21,"")</f>
        <v/>
      </c>
      <c r="J38" s="6"/>
      <c r="K38" s="6"/>
      <c r="L38" s="6"/>
    </row>
    <row r="39" spans="1:12" x14ac:dyDescent="0.3">
      <c r="A39" s="6"/>
      <c r="B39" s="6"/>
      <c r="C39" s="6"/>
      <c r="D39" s="6"/>
      <c r="E39" s="6"/>
      <c r="F39" s="7"/>
      <c r="G39" s="6"/>
      <c r="H39" s="6"/>
      <c r="I39" s="6" t="str">
        <f t="array" ref="I39">_xlfn.SWITCH(H39,"XS",1,"S",2,"M",3,"L",5,"XL",8,"XXL",13,"XXXL",21,"")</f>
        <v/>
      </c>
      <c r="J39" s="6"/>
      <c r="K39" s="6"/>
      <c r="L39" s="6"/>
    </row>
    <row r="40" spans="1:12" x14ac:dyDescent="0.3">
      <c r="A40" s="6"/>
      <c r="B40" s="6"/>
      <c r="C40" s="6"/>
      <c r="D40" s="6"/>
      <c r="E40" s="6"/>
      <c r="F40" s="7"/>
      <c r="G40" s="6"/>
      <c r="H40" s="6"/>
      <c r="I40" s="6" t="str">
        <f t="array" ref="I40">_xlfn.SWITCH(H40,"XS",1,"S",2,"M",3,"L",5,"XL",8,"XXL",13,"XXXL",21,"")</f>
        <v/>
      </c>
      <c r="J40" s="6"/>
      <c r="K40" s="6"/>
      <c r="L40" s="6"/>
    </row>
    <row r="41" spans="1:12" x14ac:dyDescent="0.3">
      <c r="A41" s="6"/>
      <c r="B41" s="6"/>
      <c r="C41" s="6"/>
      <c r="D41" s="6"/>
      <c r="E41" s="6"/>
      <c r="F41" s="7"/>
      <c r="G41" s="6"/>
      <c r="H41" s="6"/>
      <c r="I41" s="6" t="str">
        <f t="array" ref="I41">_xlfn.SWITCH(H41,"XS",1,"S",2,"M",3,"L",5,"XL",8,"XXL",13,"XXXL",21,"")</f>
        <v/>
      </c>
      <c r="J41" s="6"/>
      <c r="K41" s="6"/>
      <c r="L41" s="6"/>
    </row>
    <row r="42" spans="1:12" x14ac:dyDescent="0.3">
      <c r="A42" s="6"/>
      <c r="B42" s="6"/>
      <c r="C42" s="6"/>
      <c r="D42" s="6"/>
      <c r="E42" s="6"/>
      <c r="F42" s="7"/>
      <c r="G42" s="6"/>
      <c r="H42" s="6"/>
      <c r="I42" s="6" t="str">
        <f t="array" ref="I42">_xlfn.SWITCH(H42,"XS",1,"S",2,"M",3,"L",5,"XL",8,"XXL",13,"XXXL",21,"")</f>
        <v/>
      </c>
      <c r="J42" s="6"/>
      <c r="K42" s="6"/>
      <c r="L42" s="6"/>
    </row>
    <row r="43" spans="1:12" x14ac:dyDescent="0.3">
      <c r="A43" s="6"/>
      <c r="B43" s="6"/>
      <c r="C43" s="6"/>
      <c r="D43" s="6"/>
      <c r="E43" s="6"/>
      <c r="F43" s="7"/>
      <c r="G43" s="6"/>
      <c r="H43" s="6"/>
      <c r="I43" s="6" t="str">
        <f t="array" ref="I43">_xlfn.SWITCH(H43,"XS",1,"S",2,"M",3,"L",5,"XL",8,"XXL",13,"XXXL",21,"")</f>
        <v/>
      </c>
      <c r="J43" s="6"/>
      <c r="K43" s="6"/>
      <c r="L43" s="6"/>
    </row>
    <row r="44" spans="1:12" x14ac:dyDescent="0.3">
      <c r="A44" s="6"/>
      <c r="B44" s="6"/>
      <c r="C44" s="6"/>
      <c r="D44" s="6"/>
      <c r="E44" s="6"/>
      <c r="F44" s="7"/>
      <c r="G44" s="6"/>
      <c r="H44" s="6"/>
      <c r="I44" s="6" t="str">
        <f t="array" ref="I44">_xlfn.SWITCH(H44,"XS",1,"S",2,"M",3,"L",5,"XL",8,"XXL",13,"XXXL",21,"")</f>
        <v/>
      </c>
      <c r="J44" s="6"/>
      <c r="K44" s="6"/>
      <c r="L44" s="6"/>
    </row>
    <row r="45" spans="1:12" x14ac:dyDescent="0.3">
      <c r="A45" s="6"/>
      <c r="B45" s="6"/>
      <c r="C45" s="6"/>
      <c r="D45" s="6"/>
      <c r="E45" s="6"/>
      <c r="F45" s="7"/>
      <c r="G45" s="6"/>
      <c r="H45" s="6"/>
      <c r="I45" s="6" t="str">
        <f t="array" ref="I45">_xlfn.SWITCH(H45,"XS",1,"S",2,"M",3,"L",5,"XL",8,"XXL",13,"XXXL",21,"")</f>
        <v/>
      </c>
      <c r="J45" s="6"/>
      <c r="K45" s="6"/>
      <c r="L45" s="6"/>
    </row>
    <row r="46" spans="1:12" x14ac:dyDescent="0.3">
      <c r="A46" s="6"/>
      <c r="B46" s="6"/>
      <c r="C46" s="6"/>
      <c r="D46" s="6"/>
      <c r="E46" s="6"/>
      <c r="F46" s="7"/>
      <c r="G46" s="6"/>
      <c r="H46" s="6"/>
      <c r="I46" s="6" t="str">
        <f t="array" ref="I46">_xlfn.SWITCH(H46,"XS",1,"S",2,"M",3,"L",5,"XL",8,"XXL",13,"XXXL",21,"")</f>
        <v/>
      </c>
      <c r="J46" s="6"/>
      <c r="K46" s="6"/>
      <c r="L46" s="6"/>
    </row>
    <row r="47" spans="1:12" x14ac:dyDescent="0.3">
      <c r="A47" s="6"/>
      <c r="B47" s="6"/>
      <c r="C47" s="6"/>
      <c r="D47" s="6"/>
      <c r="E47" s="6"/>
      <c r="F47" s="7"/>
      <c r="G47" s="6"/>
      <c r="H47" s="6"/>
      <c r="I47" s="6" t="str">
        <f t="array" ref="I47">_xlfn.SWITCH(H47,"XS",1,"S",2,"M",3,"L",5,"XL",8,"XXL",13,"XXXL",21,"")</f>
        <v/>
      </c>
      <c r="J47" s="6"/>
      <c r="K47" s="6"/>
      <c r="L47" s="6"/>
    </row>
    <row r="48" spans="1:12" x14ac:dyDescent="0.3">
      <c r="A48" s="6"/>
      <c r="B48" s="6"/>
      <c r="C48" s="6"/>
      <c r="D48" s="6"/>
      <c r="E48" s="6"/>
      <c r="F48" s="7"/>
      <c r="G48" s="6"/>
      <c r="H48" s="6"/>
      <c r="I48" s="6" t="str">
        <f t="array" ref="I48">_xlfn.SWITCH(H48,"XS",1,"S",2,"M",3,"L",5,"XL",8,"XXL",13,"XXXL",21,"")</f>
        <v/>
      </c>
      <c r="J48" s="6"/>
      <c r="K48" s="6"/>
      <c r="L48" s="6"/>
    </row>
    <row r="49" spans="1:12" x14ac:dyDescent="0.3">
      <c r="A49" s="6"/>
      <c r="B49" s="6"/>
      <c r="C49" s="6"/>
      <c r="D49" s="6"/>
      <c r="E49" s="6"/>
      <c r="F49" s="8"/>
      <c r="G49" s="6"/>
      <c r="H49" s="6"/>
      <c r="I49" s="6" t="str">
        <f t="array" ref="I49">_xlfn.SWITCH(H49,"XS",1,"S",2,"M",3,"L",5,"XL",8,"XXL",13,"XXXL",21,"")</f>
        <v/>
      </c>
      <c r="J49" s="6"/>
      <c r="K49" s="6"/>
      <c r="L49" s="6"/>
    </row>
    <row r="50" spans="1:12" x14ac:dyDescent="0.3">
      <c r="A50" s="6"/>
      <c r="B50" s="6"/>
      <c r="C50" s="6"/>
      <c r="D50" s="6"/>
      <c r="E50" s="6"/>
      <c r="F50" s="8"/>
      <c r="G50" s="6"/>
      <c r="H50" s="6"/>
      <c r="I50" s="6" t="str">
        <f t="array" ref="I50">_xlfn.SWITCH(H50,"XS",1,"S",2,"M",3,"L",5,"XL",8,"XXL",13,"XXXL",21,"")</f>
        <v/>
      </c>
      <c r="J50" s="6"/>
      <c r="K50" s="6"/>
      <c r="L50" s="6"/>
    </row>
    <row r="51" spans="1:12" x14ac:dyDescent="0.3">
      <c r="A51" s="6"/>
      <c r="B51" s="6"/>
      <c r="C51" s="6"/>
      <c r="D51" s="6"/>
      <c r="E51" s="6"/>
      <c r="F51" s="8"/>
      <c r="G51" s="6"/>
      <c r="H51" s="6"/>
      <c r="I51" s="6" t="str">
        <f t="array" ref="I51">_xlfn.SWITCH(H51,"XS",1,"S",2,"M",3,"L",5,"XL",8,"XXL",13,"XXXL",21,"")</f>
        <v/>
      </c>
      <c r="J51" s="6"/>
      <c r="K51" s="6"/>
      <c r="L51" s="6"/>
    </row>
    <row r="52" spans="1:12" x14ac:dyDescent="0.3">
      <c r="A52" s="6"/>
      <c r="B52" s="6"/>
      <c r="C52" s="6"/>
      <c r="D52" s="6"/>
      <c r="E52" s="6"/>
      <c r="F52" s="8"/>
      <c r="G52" s="6"/>
      <c r="H52" s="6"/>
      <c r="I52" s="6" t="str">
        <f t="array" ref="I52">_xlfn.SWITCH(H52,"XS",1,"S",2,"M",3,"L",5,"XL",8,"XXL",13,"XXXL",21,"")</f>
        <v/>
      </c>
      <c r="J52" s="6"/>
      <c r="K52" s="6"/>
      <c r="L52" s="6"/>
    </row>
    <row r="53" spans="1:12" x14ac:dyDescent="0.3">
      <c r="A53" s="6"/>
      <c r="B53" s="6"/>
      <c r="C53" s="6"/>
      <c r="D53" s="6"/>
      <c r="E53" s="6"/>
      <c r="F53" s="8"/>
      <c r="G53" s="6"/>
      <c r="H53" s="6"/>
      <c r="I53" s="6" t="str">
        <f t="array" ref="I53">_xlfn.SWITCH(H53,"XS",1,"S",2,"M",3,"L",5,"XL",8,"XXL",13,"XXXL",21,"")</f>
        <v/>
      </c>
      <c r="J53" s="6"/>
      <c r="K53" s="6"/>
      <c r="L53" s="6"/>
    </row>
    <row r="54" spans="1:12" x14ac:dyDescent="0.3">
      <c r="A54" s="6"/>
      <c r="B54" s="6"/>
      <c r="C54" s="6"/>
      <c r="D54" s="6"/>
      <c r="E54" s="6"/>
      <c r="F54" s="8"/>
      <c r="G54" s="6"/>
      <c r="H54" s="6"/>
      <c r="I54" s="6" t="str">
        <f t="array" ref="I54">_xlfn.SWITCH(H54,"XS",1,"S",2,"M",3,"L",5,"XL",8,"XXL",13,"XXXL",21,"")</f>
        <v/>
      </c>
      <c r="J54" s="6"/>
      <c r="K54" s="6"/>
      <c r="L54" s="6"/>
    </row>
    <row r="55" spans="1:12" x14ac:dyDescent="0.3">
      <c r="A55" s="6"/>
      <c r="B55" s="6"/>
      <c r="C55" s="6"/>
      <c r="D55" s="6"/>
      <c r="E55" s="6"/>
      <c r="F55" s="7"/>
      <c r="G55" s="6"/>
      <c r="H55" s="6"/>
      <c r="I55" s="6" t="str">
        <f t="array" ref="I55">_xlfn.SWITCH(H55,"XS",1,"S",2,"M",3,"L",5,"XL",8,"XXL",13,"XXXL",21,"")</f>
        <v/>
      </c>
      <c r="J55" s="6"/>
      <c r="K55" s="6"/>
      <c r="L55" s="6"/>
    </row>
    <row r="56" spans="1:12" x14ac:dyDescent="0.3">
      <c r="A56" s="6"/>
      <c r="B56" s="6"/>
      <c r="C56" s="6"/>
      <c r="D56" s="6"/>
      <c r="E56" s="6"/>
      <c r="F56" s="7"/>
      <c r="G56" s="6"/>
      <c r="H56" s="6"/>
      <c r="I56" s="6" t="str">
        <f t="array" ref="I56">_xlfn.SWITCH(H56,"XS",1,"S",2,"M",3,"L",5,"XL",8,"XXL",13,"XXXL",21,"")</f>
        <v/>
      </c>
      <c r="J56" s="6"/>
      <c r="K56" s="6"/>
      <c r="L56" s="6"/>
    </row>
    <row r="57" spans="1:12" x14ac:dyDescent="0.3">
      <c r="A57" s="6"/>
      <c r="B57" s="6"/>
      <c r="C57" s="6"/>
      <c r="D57" s="6"/>
      <c r="E57" s="6"/>
      <c r="F57" s="7"/>
      <c r="G57" s="6"/>
      <c r="H57" s="6"/>
      <c r="I57" s="6" t="str">
        <f t="array" ref="I57">_xlfn.SWITCH(H57,"XS",1,"S",2,"M",3,"L",5,"XL",8,"XXL",13,"XXXL",21,"")</f>
        <v/>
      </c>
      <c r="J57" s="6"/>
      <c r="K57" s="6"/>
      <c r="L57" s="6"/>
    </row>
    <row r="58" spans="1:12" x14ac:dyDescent="0.3">
      <c r="A58" s="6"/>
      <c r="B58" s="6"/>
      <c r="C58" s="6"/>
      <c r="D58" s="6"/>
      <c r="E58" s="6"/>
      <c r="F58" s="7"/>
      <c r="G58" s="6"/>
      <c r="H58" s="6"/>
      <c r="I58" s="6" t="str">
        <f t="array" ref="I58">_xlfn.SWITCH(H58,"XS",1,"S",2,"M",3,"L",5,"XL",8,"XXL",13,"XXXL",21,"")</f>
        <v/>
      </c>
      <c r="J58" s="6"/>
      <c r="K58" s="6"/>
      <c r="L58" s="6"/>
    </row>
    <row r="59" spans="1:12" x14ac:dyDescent="0.3">
      <c r="A59" s="6"/>
      <c r="B59" s="6"/>
      <c r="C59" s="6"/>
      <c r="D59" s="6"/>
      <c r="E59" s="6"/>
      <c r="F59" s="7"/>
      <c r="G59" s="6"/>
      <c r="H59" s="6"/>
      <c r="I59" s="6" t="str">
        <f t="array" ref="I59">_xlfn.SWITCH(H59,"XS",1,"S",2,"M",3,"L",5,"XL",8,"XXL",13,"XXXL",21,"")</f>
        <v/>
      </c>
      <c r="J59" s="6"/>
      <c r="K59" s="6"/>
      <c r="L59" s="6"/>
    </row>
    <row r="60" spans="1:12" x14ac:dyDescent="0.3">
      <c r="A60" s="6"/>
      <c r="B60" s="6"/>
      <c r="C60" s="6"/>
      <c r="D60" s="6"/>
      <c r="E60" s="6"/>
      <c r="F60" s="7"/>
      <c r="G60" s="6"/>
      <c r="H60" s="6"/>
      <c r="I60" s="6" t="str">
        <f t="array" ref="I60">_xlfn.SWITCH(H60,"XS",1,"S",2,"M",3,"L",5,"XL",8,"XXL",13,"XXXL",21,"")</f>
        <v/>
      </c>
      <c r="J60" s="6"/>
      <c r="K60" s="6"/>
      <c r="L60" s="6"/>
    </row>
    <row r="61" spans="1:12" x14ac:dyDescent="0.3">
      <c r="A61" s="6"/>
      <c r="B61" s="6"/>
      <c r="C61" s="6"/>
      <c r="D61" s="6"/>
      <c r="E61" s="6"/>
      <c r="F61" s="7"/>
      <c r="G61" s="6"/>
      <c r="H61" s="6"/>
      <c r="I61" s="6" t="str">
        <f t="array" ref="I61">_xlfn.SWITCH(H61,"XS",1,"S",2,"M",3,"L",5,"XL",8,"XXL",13,"XXXL",21,"")</f>
        <v/>
      </c>
      <c r="J61" s="6"/>
      <c r="K61" s="6"/>
      <c r="L61" s="6"/>
    </row>
    <row r="62" spans="1:12" x14ac:dyDescent="0.3">
      <c r="A62" s="6"/>
      <c r="B62" s="6"/>
      <c r="C62" s="6"/>
      <c r="D62" s="6"/>
      <c r="E62" s="6"/>
      <c r="F62" s="7"/>
      <c r="G62" s="6"/>
      <c r="H62" s="6"/>
      <c r="I62" s="6" t="str">
        <f t="array" ref="I62">_xlfn.SWITCH(H62,"XS",1,"S",2,"M",3,"L",5,"XL",8,"XXL",13,"XXXL",21,"")</f>
        <v/>
      </c>
      <c r="J62" s="6"/>
      <c r="K62" s="6"/>
      <c r="L62" s="6"/>
    </row>
    <row r="63" spans="1:12" x14ac:dyDescent="0.3">
      <c r="A63" s="6"/>
      <c r="B63" s="6"/>
      <c r="C63" s="6"/>
      <c r="D63" s="6"/>
      <c r="E63" s="6"/>
      <c r="F63" s="7"/>
      <c r="G63" s="6"/>
      <c r="H63" s="6"/>
      <c r="I63" s="6" t="str">
        <f t="array" ref="I63">_xlfn.SWITCH(H63,"XS",1,"S",2,"M",3,"L",5,"XL",8,"XXL",13,"XXXL",21,"")</f>
        <v/>
      </c>
      <c r="J63" s="6"/>
      <c r="K63" s="6"/>
      <c r="L63" s="6"/>
    </row>
    <row r="64" spans="1:12" x14ac:dyDescent="0.3">
      <c r="A64" s="6"/>
      <c r="B64" s="6"/>
      <c r="C64" s="6"/>
      <c r="D64" s="6"/>
      <c r="E64" s="6"/>
      <c r="F64" s="7"/>
      <c r="G64" s="6"/>
      <c r="H64" s="6"/>
      <c r="I64" s="6" t="str">
        <f t="array" ref="I64">_xlfn.SWITCH(H64,"XS",1,"S",2,"M",3,"L",5,"XL",8,"XXL",13,"XXXL",21,"")</f>
        <v/>
      </c>
      <c r="J64" s="6"/>
      <c r="K64" s="6"/>
      <c r="L64" s="6"/>
    </row>
    <row r="65" spans="1:12" x14ac:dyDescent="0.3">
      <c r="A65" s="6"/>
      <c r="B65" s="6"/>
      <c r="C65" s="6"/>
      <c r="D65" s="6"/>
      <c r="E65" s="6"/>
      <c r="F65" s="7"/>
      <c r="G65" s="6"/>
      <c r="H65" s="6"/>
      <c r="I65" s="6" t="str">
        <f t="array" ref="I65">_xlfn.SWITCH(H65,"XS",1,"S",2,"M",3,"L",5,"XL",8,"XXL",13,"XXXL",21,"")</f>
        <v/>
      </c>
      <c r="J65" s="6"/>
      <c r="K65" s="6"/>
      <c r="L65" s="6"/>
    </row>
    <row r="66" spans="1:12" x14ac:dyDescent="0.3">
      <c r="A66" s="6"/>
      <c r="B66" s="6"/>
      <c r="C66" s="6"/>
      <c r="D66" s="6"/>
      <c r="E66" s="6"/>
      <c r="F66" s="5"/>
      <c r="G66" s="6"/>
      <c r="H66" s="6"/>
      <c r="I66" s="6" t="str">
        <f t="array" ref="I66">_xlfn.SWITCH(H66,"XS",1,"S",2,"M",3,"L",5,"XL",8,"XXL",13,"XXXL",21,"")</f>
        <v/>
      </c>
      <c r="J66" s="6"/>
      <c r="K66" s="6"/>
      <c r="L66" s="6"/>
    </row>
    <row r="67" spans="1:12" x14ac:dyDescent="0.3">
      <c r="A67" s="6"/>
      <c r="B67" s="6"/>
      <c r="C67" s="6"/>
      <c r="D67" s="6"/>
      <c r="E67" s="6"/>
      <c r="F67" s="7"/>
      <c r="G67" s="6"/>
      <c r="H67" s="6"/>
      <c r="I67" s="6" t="str">
        <f t="array" ref="I67">_xlfn.SWITCH(H67,"XS",1,"S",2,"M",3,"L",5,"XL",8,"XXL",13,"XXXL",21,"")</f>
        <v/>
      </c>
      <c r="J67" s="6"/>
      <c r="K67" s="6"/>
      <c r="L67" s="6"/>
    </row>
    <row r="68" spans="1:12" x14ac:dyDescent="0.3">
      <c r="A68" s="6"/>
      <c r="B68" s="6"/>
      <c r="C68" s="6"/>
      <c r="D68" s="6"/>
      <c r="E68" s="6"/>
      <c r="F68" s="5"/>
      <c r="G68" s="6"/>
      <c r="H68" s="6"/>
      <c r="I68" s="6" t="str">
        <f t="array" ref="I68">_xlfn.SWITCH(H68,"XS",1,"S",2,"M",3,"L",5,"XL",8,"XXL",13,"XXXL",21,"")</f>
        <v/>
      </c>
      <c r="J68" s="6"/>
      <c r="K68" s="6"/>
      <c r="L68" s="6"/>
    </row>
    <row r="69" spans="1:12" x14ac:dyDescent="0.3">
      <c r="A69" s="6"/>
      <c r="B69" s="6"/>
      <c r="C69" s="6"/>
      <c r="D69" s="6"/>
      <c r="E69" s="6"/>
      <c r="F69" s="5"/>
      <c r="G69" s="6"/>
      <c r="H69" s="6"/>
      <c r="I69" s="6" t="str">
        <f t="array" ref="I69">_xlfn.SWITCH(H69,"XS",1,"S",2,"M",3,"L",5,"XL",8,"XXL",13,"XXXL",21,"")</f>
        <v/>
      </c>
      <c r="J69" s="6"/>
      <c r="K69" s="6"/>
      <c r="L69" s="6"/>
    </row>
    <row r="70" spans="1:12" x14ac:dyDescent="0.3">
      <c r="A70" s="6"/>
      <c r="B70" s="6"/>
      <c r="C70" s="6"/>
      <c r="D70" s="6"/>
      <c r="E70" s="6"/>
      <c r="F70" s="7"/>
      <c r="G70" s="6"/>
      <c r="H70" s="6"/>
      <c r="I70" s="6" t="str">
        <f t="array" ref="I70">_xlfn.SWITCH(H70,"XS",1,"S",2,"M",3,"L",5,"XL",8,"XXL",13,"XXXL",21,"")</f>
        <v/>
      </c>
      <c r="J70" s="6"/>
      <c r="K70" s="6"/>
      <c r="L70" s="6"/>
    </row>
    <row r="71" spans="1:12" x14ac:dyDescent="0.3">
      <c r="A71" s="6"/>
      <c r="B71" s="6"/>
      <c r="C71" s="6"/>
      <c r="D71" s="6"/>
      <c r="E71" s="6"/>
      <c r="F71" s="7"/>
      <c r="G71" s="6"/>
      <c r="H71" s="6"/>
      <c r="I71" s="6" t="str">
        <f t="array" ref="I71">_xlfn.SWITCH(H71,"XS",1,"S",2,"M",3,"L",5,"XL",8,"XXL",13,"XXXL",21,"")</f>
        <v/>
      </c>
      <c r="J71" s="6"/>
      <c r="K71" s="6"/>
      <c r="L71" s="6"/>
    </row>
    <row r="72" spans="1:12" x14ac:dyDescent="0.3">
      <c r="A72" s="6"/>
      <c r="B72" s="6"/>
      <c r="C72" s="6"/>
      <c r="D72" s="6"/>
      <c r="E72" s="6"/>
      <c r="F72" s="7"/>
      <c r="G72" s="6"/>
      <c r="H72" s="6"/>
      <c r="I72" s="6" t="str">
        <f t="array" ref="I72">_xlfn.SWITCH(H72,"XS",1,"S",2,"M",3,"L",5,"XL",8,"XXL",13,"XXXL",21,"")</f>
        <v/>
      </c>
      <c r="J72" s="6"/>
      <c r="K72" s="6"/>
      <c r="L72" s="6"/>
    </row>
    <row r="73" spans="1:12" x14ac:dyDescent="0.3">
      <c r="A73" s="6"/>
      <c r="B73" s="6"/>
      <c r="C73" s="6"/>
      <c r="D73" s="6"/>
      <c r="E73" s="6"/>
      <c r="F73" s="7"/>
      <c r="G73" s="6"/>
      <c r="H73" s="6"/>
      <c r="I73" s="6" t="str">
        <f t="array" ref="I73">_xlfn.SWITCH(H73,"XS",1,"S",2,"M",3,"L",5,"XL",8,"XXL",13,"XXXL",21,"")</f>
        <v/>
      </c>
      <c r="J73" s="6"/>
      <c r="K73" s="6"/>
      <c r="L73" s="6"/>
    </row>
    <row r="74" spans="1:12" x14ac:dyDescent="0.3">
      <c r="A74" s="6"/>
      <c r="B74" s="6"/>
      <c r="C74" s="6"/>
      <c r="D74" s="6"/>
      <c r="E74" s="6"/>
      <c r="F74" s="7"/>
      <c r="G74" s="6"/>
      <c r="H74" s="6"/>
      <c r="I74" s="6" t="str">
        <f t="array" ref="I74">_xlfn.SWITCH(H74,"XS",1,"S",2,"M",3,"L",5,"XL",8,"XXL",13,"XXXL",21,"")</f>
        <v/>
      </c>
      <c r="J74" s="6"/>
      <c r="K74" s="6"/>
      <c r="L74" s="6"/>
    </row>
    <row r="75" spans="1:12" x14ac:dyDescent="0.3">
      <c r="A75" s="6"/>
      <c r="B75" s="6"/>
      <c r="C75" s="6"/>
      <c r="D75" s="6"/>
      <c r="E75" s="6"/>
      <c r="F75" s="8"/>
      <c r="G75" s="6"/>
      <c r="H75" s="6"/>
      <c r="I75" s="6" t="str">
        <f t="array" ref="I75">_xlfn.SWITCH(H75,"XS",1,"S",2,"M",3,"L",5,"XL",8,"XXL",13,"XXXL",21,"")</f>
        <v/>
      </c>
      <c r="J75" s="6"/>
      <c r="K75" s="6"/>
      <c r="L75" s="6"/>
    </row>
    <row r="76" spans="1:12" x14ac:dyDescent="0.3">
      <c r="A76" s="6"/>
      <c r="B76" s="6"/>
      <c r="C76" s="6"/>
      <c r="D76" s="6"/>
      <c r="E76" s="6"/>
      <c r="F76" s="8"/>
      <c r="G76" s="6"/>
      <c r="H76" s="6"/>
      <c r="I76" s="6" t="str">
        <f t="array" ref="I76">_xlfn.SWITCH(H76,"XS",1,"S",2,"M",3,"L",5,"XL",8,"XXL",13,"XXXL",21,"")</f>
        <v/>
      </c>
      <c r="J76" s="6"/>
      <c r="K76" s="6"/>
      <c r="L76" s="6"/>
    </row>
    <row r="77" spans="1:12" x14ac:dyDescent="0.3">
      <c r="A77" s="6"/>
      <c r="B77" s="6"/>
      <c r="C77" s="6"/>
      <c r="D77" s="6"/>
      <c r="E77" s="6"/>
      <c r="F77" s="8"/>
      <c r="G77" s="6"/>
      <c r="H77" s="6"/>
      <c r="I77" s="6" t="str">
        <f t="array" ref="I77">_xlfn.SWITCH(H77,"XS",1,"S",2,"M",3,"L",5,"XL",8,"XXL",13,"XXXL",21,"")</f>
        <v/>
      </c>
      <c r="J77" s="6"/>
      <c r="K77" s="6"/>
      <c r="L77" s="6"/>
    </row>
    <row r="78" spans="1:12" x14ac:dyDescent="0.3">
      <c r="A78" s="6"/>
      <c r="B78" s="6"/>
      <c r="C78" s="6"/>
      <c r="D78" s="6"/>
      <c r="E78" s="6"/>
      <c r="F78" s="8"/>
      <c r="G78" s="6"/>
      <c r="H78" s="6"/>
      <c r="I78" s="6" t="str">
        <f t="array" ref="I78">_xlfn.SWITCH(H78,"XS",1,"S",2,"M",3,"L",5,"XL",8,"XXL",13,"XXXL",21,"")</f>
        <v/>
      </c>
      <c r="J78" s="6"/>
      <c r="K78" s="6"/>
      <c r="L78" s="6"/>
    </row>
    <row r="79" spans="1:12" x14ac:dyDescent="0.3">
      <c r="A79" s="6"/>
      <c r="B79" s="6"/>
      <c r="C79" s="6"/>
      <c r="D79" s="6"/>
      <c r="E79" s="6"/>
      <c r="F79" s="8"/>
      <c r="G79" s="6"/>
      <c r="H79" s="6"/>
      <c r="I79" s="6" t="str">
        <f t="array" ref="I79">_xlfn.SWITCH(H79,"XS",1,"S",2,"M",3,"L",5,"XL",8,"XXL",13,"XXXL",21,"")</f>
        <v/>
      </c>
      <c r="J79" s="6"/>
      <c r="K79" s="6"/>
      <c r="L79" s="6"/>
    </row>
    <row r="80" spans="1:12" x14ac:dyDescent="0.3">
      <c r="A80" s="6"/>
      <c r="B80" s="6"/>
      <c r="C80" s="6"/>
      <c r="D80" s="6"/>
      <c r="E80" s="6"/>
      <c r="F80" s="8"/>
      <c r="G80" s="6"/>
      <c r="H80" s="6"/>
      <c r="I80" s="6" t="str">
        <f t="array" ref="I80">_xlfn.SWITCH(H80,"XS",1,"S",2,"M",3,"L",5,"XL",8,"XXL",13,"XXXL",21,"")</f>
        <v/>
      </c>
      <c r="J80" s="6"/>
      <c r="K80" s="6"/>
      <c r="L80" s="6"/>
    </row>
    <row r="81" spans="1:12" x14ac:dyDescent="0.3">
      <c r="A81" s="6"/>
      <c r="B81" s="6"/>
      <c r="C81" s="6"/>
      <c r="D81" s="6"/>
      <c r="E81" s="6"/>
      <c r="F81" s="8"/>
      <c r="G81" s="6"/>
      <c r="H81" s="6"/>
      <c r="I81" s="6" t="str">
        <f t="array" ref="I81">_xlfn.SWITCH(H81,"XS",1,"S",2,"M",3,"L",5,"XL",8,"XXL",13,"XXXL",21,"")</f>
        <v/>
      </c>
      <c r="J81" s="6"/>
      <c r="K81" s="6"/>
      <c r="L81" s="6"/>
    </row>
    <row r="82" spans="1:12" x14ac:dyDescent="0.3">
      <c r="A82" s="6"/>
      <c r="B82" s="6"/>
      <c r="C82" s="6"/>
      <c r="D82" s="6"/>
      <c r="E82" s="6"/>
      <c r="F82" s="8"/>
      <c r="G82" s="6"/>
      <c r="H82" s="6"/>
      <c r="I82" s="6" t="str">
        <f t="array" ref="I82">_xlfn.SWITCH(H82,"XS",1,"S",2,"M",3,"L",5,"XL",8,"XXL",13,"XXXL",21,"")</f>
        <v/>
      </c>
      <c r="J82" s="6"/>
      <c r="K82" s="6"/>
      <c r="L82" s="6"/>
    </row>
    <row r="83" spans="1:12" x14ac:dyDescent="0.3">
      <c r="A83" s="6"/>
      <c r="B83" s="6"/>
      <c r="C83" s="6"/>
      <c r="D83" s="6"/>
      <c r="E83" s="6"/>
      <c r="F83" s="8"/>
      <c r="G83" s="6"/>
      <c r="H83" s="6"/>
      <c r="I83" s="6" t="str">
        <f t="array" ref="I83">_xlfn.SWITCH(H83,"XS",1,"S",2,"M",3,"L",5,"XL",8,"XXL",13,"XXXL",21,"")</f>
        <v/>
      </c>
      <c r="J83" s="6"/>
      <c r="K83" s="6"/>
      <c r="L83" s="6"/>
    </row>
    <row r="84" spans="1:12" x14ac:dyDescent="0.3">
      <c r="A84" s="6"/>
      <c r="B84" s="6"/>
      <c r="C84" s="6"/>
      <c r="D84" s="6"/>
      <c r="E84" s="6"/>
      <c r="F84" s="8"/>
      <c r="G84" s="6"/>
      <c r="H84" s="6"/>
      <c r="I84" s="6" t="str">
        <f t="array" ref="I84">_xlfn.SWITCH(H84,"XS",1,"S",2,"M",3,"L",5,"XL",8,"XXL",13,"XXXL",21,"")</f>
        <v/>
      </c>
      <c r="J84" s="6"/>
      <c r="K84" s="6"/>
      <c r="L84" s="6"/>
    </row>
    <row r="85" spans="1:12" x14ac:dyDescent="0.3">
      <c r="A85" s="6"/>
      <c r="B85" s="6"/>
      <c r="C85" s="6"/>
      <c r="D85" s="6"/>
      <c r="E85" s="6"/>
      <c r="F85" s="8"/>
      <c r="G85" s="6"/>
      <c r="H85" s="6"/>
      <c r="I85" s="6" t="str">
        <f t="array" ref="I85">_xlfn.SWITCH(H85,"XS",1,"S",2,"M",3,"L",5,"XL",8,"XXL",13,"XXXL",21,"")</f>
        <v/>
      </c>
      <c r="J85" s="6"/>
      <c r="K85" s="6"/>
      <c r="L85" s="6"/>
    </row>
    <row r="86" spans="1:12" x14ac:dyDescent="0.3">
      <c r="A86" s="6"/>
      <c r="B86" s="6"/>
      <c r="C86" s="6"/>
      <c r="D86" s="6"/>
      <c r="E86" s="6"/>
      <c r="F86" s="8"/>
      <c r="G86" s="6"/>
      <c r="H86" s="6"/>
      <c r="I86" s="6" t="str">
        <f t="array" ref="I86">_xlfn.SWITCH(H86,"XS",1,"S",2,"M",3,"L",5,"XL",8,"XXL",13,"XXXL",21,"")</f>
        <v/>
      </c>
      <c r="J86" s="6"/>
      <c r="K86" s="6"/>
      <c r="L86" s="6"/>
    </row>
    <row r="87" spans="1:12" x14ac:dyDescent="0.3">
      <c r="A87" s="6"/>
      <c r="B87" s="6"/>
      <c r="C87" s="6"/>
      <c r="D87" s="6"/>
      <c r="E87" s="6"/>
      <c r="F87" s="8"/>
      <c r="G87" s="6"/>
      <c r="H87" s="6"/>
      <c r="I87" s="6" t="str">
        <f t="array" ref="I87">_xlfn.SWITCH(H87,"XS",1,"S",2,"M",3,"L",5,"XL",8,"XXL",13,"XXXL",21,"")</f>
        <v/>
      </c>
      <c r="J87" s="6"/>
      <c r="K87" s="6"/>
      <c r="L87" s="6"/>
    </row>
    <row r="88" spans="1:12" x14ac:dyDescent="0.3">
      <c r="A88" s="6"/>
      <c r="B88" s="6"/>
      <c r="C88" s="6"/>
      <c r="D88" s="6"/>
      <c r="E88" s="6"/>
      <c r="F88" s="8"/>
      <c r="G88" s="6"/>
      <c r="H88" s="6"/>
      <c r="I88" s="6" t="str">
        <f t="array" ref="I88">_xlfn.SWITCH(H88,"XS",1,"S",2,"M",3,"L",5,"XL",8,"XXL",13,"XXXL",21,"")</f>
        <v/>
      </c>
      <c r="J88" s="6"/>
      <c r="K88" s="6"/>
      <c r="L88" s="6"/>
    </row>
    <row r="89" spans="1:12" x14ac:dyDescent="0.3">
      <c r="A89" s="6"/>
      <c r="B89" s="6"/>
      <c r="C89" s="6"/>
      <c r="D89" s="6"/>
      <c r="E89" s="6"/>
      <c r="F89" s="8"/>
      <c r="G89" s="6"/>
      <c r="H89" s="6"/>
      <c r="I89" s="6" t="str">
        <f t="array" ref="I89">_xlfn.SWITCH(H89,"XS",1,"S",2,"M",3,"L",5,"XL",8,"XXL",13,"XXXL",21,"")</f>
        <v/>
      </c>
      <c r="J89" s="6"/>
      <c r="K89" s="6"/>
      <c r="L89" s="6"/>
    </row>
    <row r="90" spans="1:12" x14ac:dyDescent="0.3">
      <c r="A90" s="6"/>
      <c r="B90" s="6"/>
      <c r="C90" s="6"/>
      <c r="D90" s="6"/>
      <c r="E90" s="6"/>
      <c r="F90" s="8"/>
      <c r="G90" s="6"/>
      <c r="H90" s="6"/>
      <c r="I90" s="6" t="str">
        <f t="array" ref="I90">_xlfn.SWITCH(H90,"XS",1,"S",2,"M",3,"L",5,"XL",8,"XXL",13,"XXXL",21,"")</f>
        <v/>
      </c>
      <c r="J90" s="6"/>
      <c r="K90" s="6"/>
      <c r="L90" s="6"/>
    </row>
    <row r="91" spans="1:12" x14ac:dyDescent="0.3">
      <c r="A91" s="6"/>
      <c r="B91" s="6"/>
      <c r="C91" s="6"/>
      <c r="D91" s="6"/>
      <c r="E91" s="6"/>
      <c r="F91" s="8"/>
      <c r="G91" s="6"/>
      <c r="H91" s="6"/>
      <c r="I91" s="6" t="str">
        <f t="array" ref="I91">_xlfn.SWITCH(H91,"XS",1,"S",2,"M",3,"L",5,"XL",8,"XXL",13,"XXXL",21,"")</f>
        <v/>
      </c>
      <c r="J91" s="6"/>
      <c r="K91" s="6"/>
      <c r="L91" s="6"/>
    </row>
    <row r="92" spans="1:12" x14ac:dyDescent="0.3">
      <c r="A92" s="6"/>
      <c r="B92" s="6"/>
      <c r="C92" s="6"/>
      <c r="D92" s="6"/>
      <c r="E92" s="6"/>
      <c r="F92" s="8"/>
      <c r="G92" s="6"/>
      <c r="H92" s="6"/>
      <c r="I92" s="6" t="str">
        <f t="array" ref="I92">_xlfn.SWITCH(H92,"XS",1,"S",2,"M",3,"L",5,"XL",8,"XXL",13,"XXXL",21,"")</f>
        <v/>
      </c>
      <c r="J92" s="6"/>
      <c r="K92" s="6"/>
      <c r="L92" s="6"/>
    </row>
    <row r="93" spans="1:12" x14ac:dyDescent="0.3">
      <c r="A93" s="6"/>
      <c r="B93" s="6"/>
      <c r="C93" s="6"/>
      <c r="D93" s="6"/>
      <c r="E93" s="6"/>
      <c r="F93" s="8"/>
      <c r="G93" s="6"/>
      <c r="H93" s="6"/>
      <c r="I93" s="6" t="str">
        <f t="array" ref="I93">_xlfn.SWITCH(H93,"XS",1,"S",2,"M",3,"L",5,"XL",8,"XXL",13,"XXXL",21,"")</f>
        <v/>
      </c>
      <c r="J93" s="6"/>
      <c r="K93" s="6"/>
      <c r="L93" s="6"/>
    </row>
    <row r="94" spans="1:12" x14ac:dyDescent="0.3">
      <c r="A94" s="6"/>
      <c r="B94" s="6"/>
      <c r="C94" s="6"/>
      <c r="D94" s="6"/>
      <c r="E94" s="6"/>
      <c r="F94" s="8"/>
      <c r="G94" s="6"/>
      <c r="H94" s="6"/>
      <c r="I94" s="6" t="str">
        <f t="array" ref="I94">_xlfn.SWITCH(H94,"XS",1,"S",2,"M",3,"L",5,"XL",8,"XXL",13,"XXXL",21,"")</f>
        <v/>
      </c>
      <c r="J94" s="6"/>
      <c r="K94" s="6"/>
      <c r="L94" s="6"/>
    </row>
    <row r="95" spans="1:12" x14ac:dyDescent="0.3">
      <c r="A95" s="6"/>
      <c r="B95" s="6"/>
      <c r="C95" s="6"/>
      <c r="D95" s="6"/>
      <c r="E95" s="6"/>
      <c r="F95" s="8"/>
      <c r="G95" s="6"/>
      <c r="H95" s="6"/>
      <c r="I95" s="6" t="str">
        <f t="array" ref="I95">_xlfn.SWITCH(H95,"XS",1,"S",2,"M",3,"L",5,"XL",8,"XXL",13,"XXXL",21,"")</f>
        <v/>
      </c>
      <c r="J95" s="6"/>
      <c r="K95" s="6"/>
      <c r="L95" s="6"/>
    </row>
    <row r="96" spans="1:12" x14ac:dyDescent="0.3">
      <c r="A96" s="6"/>
      <c r="B96" s="6"/>
      <c r="C96" s="6"/>
      <c r="D96" s="6"/>
      <c r="E96" s="6"/>
      <c r="F96" s="8"/>
      <c r="G96" s="6"/>
      <c r="H96" s="6"/>
      <c r="I96" s="6" t="str">
        <f t="array" ref="I96">_xlfn.SWITCH(H96,"XS",1,"S",2,"M",3,"L",5,"XL",8,"XXL",13,"XXXL",21,"")</f>
        <v/>
      </c>
      <c r="J96" s="6"/>
      <c r="K96" s="6"/>
      <c r="L96" s="6"/>
    </row>
    <row r="97" spans="1:12" x14ac:dyDescent="0.3">
      <c r="A97" s="6"/>
      <c r="B97" s="6"/>
      <c r="C97" s="6"/>
      <c r="D97" s="6"/>
      <c r="E97" s="6"/>
      <c r="F97" s="8"/>
      <c r="G97" s="6"/>
      <c r="H97" s="6"/>
      <c r="I97" s="6" t="str">
        <f t="array" ref="I97">_xlfn.SWITCH(H97,"XS",1,"S",2,"M",3,"L",5,"XL",8,"XXL",13,"XXXL",21,"")</f>
        <v/>
      </c>
      <c r="J97" s="6"/>
      <c r="K97" s="6"/>
      <c r="L97" s="6"/>
    </row>
    <row r="98" spans="1:12" x14ac:dyDescent="0.3">
      <c r="A98" s="6"/>
      <c r="B98" s="6"/>
      <c r="C98" s="6"/>
      <c r="D98" s="6"/>
      <c r="E98" s="6"/>
      <c r="F98" s="8"/>
      <c r="G98" s="6"/>
      <c r="H98" s="6"/>
      <c r="I98" s="6" t="str">
        <f t="array" ref="I98">_xlfn.SWITCH(H98,"XS",1,"S",2,"M",3,"L",5,"XL",8,"XXL",13,"XXXL",21,"")</f>
        <v/>
      </c>
      <c r="J98" s="6"/>
      <c r="K98" s="6"/>
      <c r="L98" s="6"/>
    </row>
    <row r="99" spans="1:12" x14ac:dyDescent="0.3">
      <c r="A99" s="6"/>
      <c r="B99" s="6"/>
      <c r="C99" s="6"/>
      <c r="D99" s="6"/>
      <c r="E99" s="6"/>
      <c r="F99" s="8"/>
      <c r="G99" s="6"/>
      <c r="H99" s="6"/>
      <c r="I99" s="6" t="str">
        <f t="array" ref="I99">_xlfn.SWITCH(H99,"XS",1,"S",2,"M",3,"L",5,"XL",8,"XXL",13,"XXXL",21,"")</f>
        <v/>
      </c>
      <c r="J99" s="6"/>
      <c r="K99" s="6"/>
      <c r="L99" s="6"/>
    </row>
    <row r="100" spans="1:12" x14ac:dyDescent="0.3">
      <c r="A100" s="6"/>
      <c r="B100" s="6"/>
      <c r="C100" s="6"/>
      <c r="D100" s="6"/>
      <c r="E100" s="6"/>
      <c r="F100" s="8"/>
      <c r="G100" s="6"/>
      <c r="H100" s="6"/>
      <c r="I100" s="6" t="str">
        <f t="array" ref="I100">_xlfn.SWITCH(H100,"XS",1,"S",2,"M",3,"L",5,"XL",8,"XXL",13,"XXXL",21,"")</f>
        <v/>
      </c>
      <c r="J100" s="6"/>
      <c r="K100" s="6"/>
      <c r="L100" s="6"/>
    </row>
    <row r="101" spans="1:12" x14ac:dyDescent="0.3">
      <c r="A101" s="6"/>
      <c r="B101" s="6"/>
      <c r="C101" s="6"/>
      <c r="D101" s="6"/>
      <c r="E101" s="6"/>
      <c r="F101" s="8"/>
      <c r="G101" s="6"/>
      <c r="H101" s="6"/>
      <c r="I101" s="6" t="str">
        <f t="array" ref="I101">_xlfn.SWITCH(H101,"XS",1,"S",2,"M",3,"L",5,"XL",8,"XXL",13,"XXXL",21,"")</f>
        <v/>
      </c>
      <c r="J101" s="6"/>
      <c r="K101" s="6"/>
      <c r="L101" s="6"/>
    </row>
    <row r="102" spans="1:12" x14ac:dyDescent="0.3">
      <c r="A102" s="6"/>
      <c r="B102" s="6"/>
      <c r="C102" s="6"/>
      <c r="D102" s="6"/>
      <c r="E102" s="6"/>
      <c r="F102" s="8"/>
      <c r="G102" s="6"/>
      <c r="H102" s="6"/>
      <c r="I102" s="6" t="str">
        <f t="array" ref="I102">_xlfn.SWITCH(H102,"XS",1,"S",2,"M",3,"L",5,"XL",8,"XXL",13,"XXXL",21,"")</f>
        <v/>
      </c>
      <c r="J102" s="6"/>
      <c r="K102" s="6"/>
      <c r="L102" s="6"/>
    </row>
    <row r="103" spans="1:12" x14ac:dyDescent="0.3">
      <c r="A103" s="6"/>
      <c r="B103" s="6"/>
      <c r="C103" s="6"/>
      <c r="D103" s="6"/>
      <c r="E103" s="6"/>
      <c r="F103" s="8"/>
      <c r="G103" s="6"/>
      <c r="H103" s="6"/>
      <c r="I103" s="6" t="str">
        <f t="array" ref="I103">_xlfn.SWITCH(H103,"XS",1,"S",2,"M",3,"L",5,"XL",8,"XXL",13,"XXXL",21,"")</f>
        <v/>
      </c>
      <c r="J103" s="6"/>
      <c r="K103" s="6"/>
      <c r="L103" s="6"/>
    </row>
    <row r="104" spans="1:12" x14ac:dyDescent="0.3">
      <c r="A104" s="6"/>
      <c r="B104" s="6"/>
      <c r="C104" s="6"/>
      <c r="D104" s="6"/>
      <c r="E104" s="6"/>
      <c r="F104" s="8"/>
      <c r="G104" s="6"/>
      <c r="H104" s="6"/>
      <c r="I104" s="6" t="str">
        <f t="array" ref="I104">_xlfn.SWITCH(H104,"XS",1,"S",2,"M",3,"L",5,"XL",8,"XXL",13,"XXXL",21,"")</f>
        <v/>
      </c>
      <c r="J104" s="6"/>
      <c r="K104" s="6"/>
      <c r="L104" s="6"/>
    </row>
    <row r="105" spans="1:12" x14ac:dyDescent="0.3">
      <c r="A105" s="6"/>
      <c r="B105" s="6"/>
      <c r="C105" s="6"/>
      <c r="D105" s="6"/>
      <c r="E105" s="6"/>
      <c r="F105" s="8"/>
      <c r="G105" s="6"/>
      <c r="H105" s="6"/>
      <c r="I105" s="6" t="str">
        <f t="array" ref="I105">_xlfn.SWITCH(H105,"XS",1,"S",2,"M",3,"L",5,"XL",8,"XXL",13,"XXXL",21,"")</f>
        <v/>
      </c>
      <c r="J105" s="6"/>
      <c r="K105" s="6"/>
      <c r="L105" s="6"/>
    </row>
    <row r="106" spans="1:12" x14ac:dyDescent="0.3">
      <c r="A106" s="6"/>
      <c r="B106" s="6"/>
      <c r="C106" s="6"/>
      <c r="D106" s="6"/>
      <c r="E106" s="6"/>
      <c r="F106" s="8"/>
      <c r="G106" s="6"/>
      <c r="H106" s="6"/>
      <c r="I106" s="6" t="str">
        <f t="array" ref="I106">_xlfn.SWITCH(H106,"XS",1,"S",2,"M",3,"L",5,"XL",8,"XXL",13,"XXXL",21,"")</f>
        <v/>
      </c>
      <c r="J106" s="6"/>
      <c r="K106" s="6"/>
      <c r="L106" s="6"/>
    </row>
    <row r="107" spans="1:12" x14ac:dyDescent="0.3">
      <c r="A107" s="6"/>
      <c r="B107" s="6"/>
      <c r="C107" s="6"/>
      <c r="D107" s="6"/>
      <c r="E107" s="6"/>
      <c r="F107" s="8"/>
      <c r="G107" s="6"/>
      <c r="H107" s="6"/>
      <c r="I107" s="6" t="str">
        <f t="array" ref="I107">_xlfn.SWITCH(H107,"XS",1,"S",2,"M",3,"L",5,"XL",8,"XXL",13,"XXXL",21,"")</f>
        <v/>
      </c>
      <c r="J107" s="6"/>
      <c r="K107" s="6"/>
      <c r="L107" s="6"/>
    </row>
    <row r="108" spans="1:12" x14ac:dyDescent="0.3">
      <c r="A108" s="6"/>
      <c r="B108" s="6"/>
      <c r="C108" s="6"/>
      <c r="D108" s="6"/>
      <c r="E108" s="6"/>
      <c r="F108" s="8"/>
      <c r="G108" s="6"/>
      <c r="H108" s="6"/>
      <c r="I108" s="6" t="str">
        <f t="array" ref="I108">_xlfn.SWITCH(H108,"XS",1,"S",2,"M",3,"L",5,"XL",8,"XXL",13,"XXXL",21,"")</f>
        <v/>
      </c>
      <c r="J108" s="6"/>
      <c r="K108" s="6"/>
      <c r="L108" s="6"/>
    </row>
    <row r="109" spans="1:12" x14ac:dyDescent="0.3">
      <c r="A109" s="6"/>
      <c r="B109" s="6"/>
      <c r="C109" s="6"/>
      <c r="D109" s="6"/>
      <c r="E109" s="6"/>
      <c r="F109" s="8"/>
      <c r="G109" s="6"/>
      <c r="H109" s="6"/>
      <c r="I109" s="6" t="str">
        <f t="array" ref="I109">_xlfn.SWITCH(H109,"XS",1,"S",2,"M",3,"L",5,"XL",8,"XXL",13,"XXXL",21,"")</f>
        <v/>
      </c>
      <c r="J109" s="6"/>
      <c r="K109" s="6"/>
      <c r="L109" s="6"/>
    </row>
    <row r="110" spans="1:12" x14ac:dyDescent="0.3">
      <c r="A110" s="6"/>
      <c r="B110" s="6"/>
      <c r="C110" s="6"/>
      <c r="D110" s="6"/>
      <c r="E110" s="6"/>
      <c r="F110" s="8"/>
      <c r="G110" s="6"/>
      <c r="H110" s="6"/>
      <c r="I110" s="6" t="str">
        <f t="array" ref="I110">_xlfn.SWITCH(H110,"XS",1,"S",2,"M",3,"L",5,"XL",8,"XXL",13,"XXXL",21,"")</f>
        <v/>
      </c>
      <c r="J110" s="6"/>
      <c r="K110" s="6"/>
      <c r="L110"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59ACD-20A0-40D8-BA3C-32B7C3C2E3F8}">
  <dimension ref="A1:L10"/>
  <sheetViews>
    <sheetView workbookViewId="0">
      <selection sqref="A1:XFD1048576"/>
    </sheetView>
  </sheetViews>
  <sheetFormatPr defaultRowHeight="14.4" x14ac:dyDescent="0.3"/>
  <cols>
    <col min="1" max="1" width="4.88671875" style="1" bestFit="1" customWidth="1"/>
    <col min="2" max="2" width="10.88671875" style="1" bestFit="1" customWidth="1"/>
    <col min="3" max="3" width="9.77734375" style="3" customWidth="1"/>
    <col min="4" max="4" width="10.77734375" style="1" customWidth="1"/>
    <col min="5" max="5" width="8.88671875" style="1"/>
  </cols>
  <sheetData>
    <row r="1" spans="1:12" ht="57.6" x14ac:dyDescent="0.3">
      <c r="A1" s="21" t="s">
        <v>12</v>
      </c>
      <c r="B1" s="21" t="s">
        <v>62</v>
      </c>
      <c r="C1" s="22" t="s">
        <v>13</v>
      </c>
      <c r="D1" s="22" t="s">
        <v>14</v>
      </c>
      <c r="E1" s="22" t="s">
        <v>15</v>
      </c>
    </row>
    <row r="2" spans="1:12" x14ac:dyDescent="0.3">
      <c r="A2" s="17">
        <v>0</v>
      </c>
      <c r="B2" s="18">
        <v>46251</v>
      </c>
      <c r="C2" s="19">
        <f>75-SUM(E$2:E2)</f>
        <v>75</v>
      </c>
      <c r="D2" s="20">
        <f>75*(1-(A2/8))</f>
        <v>75</v>
      </c>
      <c r="E2" s="20">
        <v>0</v>
      </c>
    </row>
    <row r="3" spans="1:12" x14ac:dyDescent="0.3">
      <c r="A3" s="17">
        <v>1</v>
      </c>
      <c r="B3" s="18">
        <v>46252</v>
      </c>
      <c r="C3" s="19">
        <f>75-SUM(E$2:E3)</f>
        <v>75</v>
      </c>
      <c r="D3" s="20">
        <f t="shared" ref="D3:D10" si="0">75*(1-(A3/8))</f>
        <v>65.625</v>
      </c>
      <c r="E3" s="20">
        <v>0</v>
      </c>
    </row>
    <row r="4" spans="1:12" x14ac:dyDescent="0.3">
      <c r="A4" s="17">
        <v>2</v>
      </c>
      <c r="B4" s="18">
        <v>46253</v>
      </c>
      <c r="C4" s="19">
        <f>75-SUM(E$2:E4)</f>
        <v>75</v>
      </c>
      <c r="D4" s="20">
        <f t="shared" si="0"/>
        <v>56.25</v>
      </c>
      <c r="E4" s="20">
        <v>0</v>
      </c>
      <c r="L4" s="2"/>
    </row>
    <row r="5" spans="1:12" x14ac:dyDescent="0.3">
      <c r="A5" s="17">
        <v>3</v>
      </c>
      <c r="B5" s="18">
        <v>46254</v>
      </c>
      <c r="C5" s="19">
        <f>75-SUM(E$2:E5)</f>
        <v>72</v>
      </c>
      <c r="D5" s="20">
        <f t="shared" si="0"/>
        <v>46.875</v>
      </c>
      <c r="E5" s="20">
        <v>3</v>
      </c>
    </row>
    <row r="6" spans="1:12" x14ac:dyDescent="0.3">
      <c r="A6" s="17">
        <v>4</v>
      </c>
      <c r="B6" s="18">
        <v>46255</v>
      </c>
      <c r="C6" s="19">
        <f>75-SUM(E$2:E6)</f>
        <v>65</v>
      </c>
      <c r="D6" s="20">
        <f t="shared" si="0"/>
        <v>37.5</v>
      </c>
      <c r="E6" s="20">
        <v>7</v>
      </c>
    </row>
    <row r="7" spans="1:12" x14ac:dyDescent="0.3">
      <c r="A7" s="17">
        <v>5</v>
      </c>
      <c r="B7" s="18">
        <v>46258</v>
      </c>
      <c r="C7" s="19">
        <f>75-SUM(E$2:E7)</f>
        <v>60</v>
      </c>
      <c r="D7" s="20">
        <f t="shared" si="0"/>
        <v>28.125</v>
      </c>
      <c r="E7" s="20">
        <v>5</v>
      </c>
    </row>
    <row r="8" spans="1:12" x14ac:dyDescent="0.3">
      <c r="A8" s="17">
        <v>6</v>
      </c>
      <c r="B8" s="18">
        <v>46259</v>
      </c>
      <c r="C8" s="19">
        <f>75-SUM(E$2:E8)</f>
        <v>48</v>
      </c>
      <c r="D8" s="20">
        <f t="shared" si="0"/>
        <v>18.75</v>
      </c>
      <c r="E8" s="20">
        <v>12</v>
      </c>
    </row>
    <row r="9" spans="1:12" x14ac:dyDescent="0.3">
      <c r="A9" s="17">
        <v>7</v>
      </c>
      <c r="B9" s="18">
        <v>46260</v>
      </c>
      <c r="C9" s="19">
        <f>75-SUM(E$2:E9)</f>
        <v>35</v>
      </c>
      <c r="D9" s="20">
        <f t="shared" si="0"/>
        <v>9.375</v>
      </c>
      <c r="E9" s="20">
        <v>13</v>
      </c>
    </row>
    <row r="10" spans="1:12" x14ac:dyDescent="0.3">
      <c r="A10" s="17">
        <v>8</v>
      </c>
      <c r="B10" s="18">
        <v>46261</v>
      </c>
      <c r="C10" s="19">
        <f>75-SUM(E$2:E10)</f>
        <v>0</v>
      </c>
      <c r="D10" s="20">
        <f t="shared" si="0"/>
        <v>0</v>
      </c>
      <c r="E10" s="20">
        <v>35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0D3B6-4BBC-427B-918A-C301767B692F}">
  <dimension ref="A1:L103"/>
  <sheetViews>
    <sheetView zoomScale="82" workbookViewId="0">
      <selection activeCell="I2" sqref="I2"/>
    </sheetView>
  </sheetViews>
  <sheetFormatPr defaultRowHeight="14.4" x14ac:dyDescent="0.3"/>
  <cols>
    <col min="1" max="1" width="6.88671875" bestFit="1" customWidth="1"/>
    <col min="2" max="2" width="13.109375" bestFit="1" customWidth="1"/>
    <col min="3" max="3" width="7.44140625" bestFit="1" customWidth="1"/>
    <col min="4" max="4" width="11.109375" customWidth="1"/>
    <col min="5" max="5" width="8.33203125" bestFit="1" customWidth="1"/>
    <col min="6" max="6" width="99.44140625" bestFit="1" customWidth="1"/>
    <col min="7" max="7" width="8" bestFit="1" customWidth="1"/>
    <col min="8" max="8" width="7.109375" bestFit="1" customWidth="1"/>
    <col min="9" max="9" width="6" bestFit="1" customWidth="1"/>
    <col min="10" max="10" width="6.77734375" bestFit="1" customWidth="1"/>
    <col min="11" max="11" width="8" bestFit="1" customWidth="1"/>
    <col min="12" max="12" width="5.77734375" bestFit="1" customWidth="1"/>
  </cols>
  <sheetData>
    <row r="1" spans="1:12" ht="46.8" x14ac:dyDescent="0.3">
      <c r="A1" s="4" t="s">
        <v>11</v>
      </c>
      <c r="B1" s="4" t="s">
        <v>0</v>
      </c>
      <c r="C1" s="4" t="s">
        <v>1</v>
      </c>
      <c r="D1" s="4" t="s">
        <v>2</v>
      </c>
      <c r="E1" s="4" t="s">
        <v>10</v>
      </c>
      <c r="F1" s="4" t="s">
        <v>3</v>
      </c>
      <c r="G1" s="4" t="s">
        <v>4</v>
      </c>
      <c r="H1" s="4" t="s">
        <v>8</v>
      </c>
      <c r="I1" s="4" t="s">
        <v>9</v>
      </c>
      <c r="J1" s="4" t="s">
        <v>5</v>
      </c>
      <c r="K1" s="4" t="s">
        <v>6</v>
      </c>
      <c r="L1" s="4" t="s">
        <v>7</v>
      </c>
    </row>
    <row r="2" spans="1:12" ht="201.6" x14ac:dyDescent="0.3">
      <c r="A2" s="12">
        <v>1</v>
      </c>
      <c r="B2" s="12" t="s">
        <v>94</v>
      </c>
      <c r="C2" s="12"/>
      <c r="D2" s="12"/>
      <c r="E2" s="12" t="s">
        <v>22</v>
      </c>
      <c r="F2" s="13" t="s">
        <v>120</v>
      </c>
      <c r="G2" s="12" t="s">
        <v>24</v>
      </c>
      <c r="H2" s="12" t="s">
        <v>131</v>
      </c>
      <c r="I2" s="12">
        <f t="array" ref="I2">_xlfn.SWITCH(H2,"XS",1,"S",2,"M",3,"L",5,"XL",8,"XXL",13,"XXXL",21,"")</f>
        <v>8</v>
      </c>
      <c r="J2" s="12" t="s">
        <v>75</v>
      </c>
      <c r="K2" s="12"/>
      <c r="L2" s="12"/>
    </row>
    <row r="3" spans="1:12" ht="172.8" x14ac:dyDescent="0.3">
      <c r="A3" s="12">
        <v>2</v>
      </c>
      <c r="B3" s="12" t="s">
        <v>94</v>
      </c>
      <c r="C3" s="12"/>
      <c r="D3" s="12"/>
      <c r="E3" s="12" t="s">
        <v>31</v>
      </c>
      <c r="F3" s="13" t="s">
        <v>121</v>
      </c>
      <c r="G3" s="12" t="s">
        <v>24</v>
      </c>
      <c r="H3" s="12" t="s">
        <v>30</v>
      </c>
      <c r="I3" s="12">
        <f t="array" ref="I3">_xlfn.SWITCH(H3,"XS",1,"S",2,"M",3,"L",5,"XL",8,"XXL",13,"XXXL",21,"")</f>
        <v>5</v>
      </c>
      <c r="J3" s="12" t="s">
        <v>75</v>
      </c>
      <c r="K3" s="12"/>
      <c r="L3" s="12"/>
    </row>
    <row r="4" spans="1:12" ht="172.8" x14ac:dyDescent="0.3">
      <c r="A4" s="12">
        <v>3</v>
      </c>
      <c r="B4" s="12" t="s">
        <v>94</v>
      </c>
      <c r="C4" s="12"/>
      <c r="D4" s="12"/>
      <c r="E4" s="12" t="s">
        <v>20</v>
      </c>
      <c r="F4" s="13" t="s">
        <v>122</v>
      </c>
      <c r="G4" s="12" t="s">
        <v>24</v>
      </c>
      <c r="H4" s="12" t="s">
        <v>131</v>
      </c>
      <c r="I4" s="12">
        <f t="array" ref="I4">_xlfn.SWITCH(H4,"XS",1,"S",2,"M",3,"L",5,"XL",8,"XXL",13,"XXXL",21,"")</f>
        <v>8</v>
      </c>
      <c r="J4" s="12" t="s">
        <v>75</v>
      </c>
      <c r="K4" s="12"/>
      <c r="L4" s="12"/>
    </row>
    <row r="5" spans="1:12" ht="172.8" x14ac:dyDescent="0.3">
      <c r="A5" s="12">
        <v>4</v>
      </c>
      <c r="B5" s="12" t="s">
        <v>94</v>
      </c>
      <c r="C5" s="12"/>
      <c r="D5" s="12"/>
      <c r="E5" s="12" t="s">
        <v>31</v>
      </c>
      <c r="F5" s="13" t="s">
        <v>123</v>
      </c>
      <c r="G5" s="12" t="s">
        <v>24</v>
      </c>
      <c r="H5" s="12" t="s">
        <v>30</v>
      </c>
      <c r="I5" s="12">
        <f t="array" ref="I5">_xlfn.SWITCH(H5,"XS",1,"S",2,"M",3,"L",5,"XL",8,"XXL",13,"XXXL",21,"")</f>
        <v>5</v>
      </c>
      <c r="J5" s="12" t="s">
        <v>75</v>
      </c>
      <c r="K5" s="12"/>
      <c r="L5" s="12"/>
    </row>
    <row r="6" spans="1:12" ht="273.60000000000002" x14ac:dyDescent="0.3">
      <c r="A6" s="12">
        <v>9</v>
      </c>
      <c r="B6" s="12" t="s">
        <v>94</v>
      </c>
      <c r="C6" s="12"/>
      <c r="D6" s="12"/>
      <c r="E6" s="12" t="s">
        <v>31</v>
      </c>
      <c r="F6" s="13" t="s">
        <v>136</v>
      </c>
      <c r="G6" s="12" t="s">
        <v>29</v>
      </c>
      <c r="H6" s="12" t="s">
        <v>23</v>
      </c>
      <c r="I6" s="12">
        <f t="array" ref="I6">_xlfn.SWITCH(H6,"XS",1,"S",2,"M",3,"L",5,"XL",8,"XXL",13,"XXXL",21,"")</f>
        <v>2</v>
      </c>
      <c r="J6" s="12" t="s">
        <v>75</v>
      </c>
      <c r="K6" s="12"/>
      <c r="L6" s="12"/>
    </row>
    <row r="7" spans="1:12" ht="216" x14ac:dyDescent="0.3">
      <c r="A7" s="12">
        <v>10</v>
      </c>
      <c r="B7" s="12" t="s">
        <v>94</v>
      </c>
      <c r="C7" s="12"/>
      <c r="D7" s="12"/>
      <c r="E7" s="12" t="s">
        <v>20</v>
      </c>
      <c r="F7" s="13" t="s">
        <v>137</v>
      </c>
      <c r="G7" s="12" t="s">
        <v>29</v>
      </c>
      <c r="H7" s="12" t="s">
        <v>23</v>
      </c>
      <c r="I7" s="12">
        <f t="array" ref="I7">_xlfn.SWITCH(H7,"XS",1,"S",2,"M",3,"L",5,"XL",8,"XXL",13,"XXXL",21,"")</f>
        <v>2</v>
      </c>
      <c r="J7" s="12" t="s">
        <v>75</v>
      </c>
      <c r="K7" s="12"/>
      <c r="L7" s="12"/>
    </row>
    <row r="8" spans="1:12" ht="244.8" x14ac:dyDescent="0.3">
      <c r="A8" s="12">
        <v>11</v>
      </c>
      <c r="B8" s="12" t="s">
        <v>94</v>
      </c>
      <c r="C8" s="12"/>
      <c r="D8" s="12"/>
      <c r="E8" s="12" t="s">
        <v>31</v>
      </c>
      <c r="F8" s="13" t="s">
        <v>138</v>
      </c>
      <c r="G8" s="12" t="s">
        <v>29</v>
      </c>
      <c r="H8" s="12" t="s">
        <v>23</v>
      </c>
      <c r="I8" s="12">
        <f t="array" ref="I8">_xlfn.SWITCH(H8,"XS",1,"S",2,"M",3,"L",5,"XL",8,"XXL",13,"XXXL",21,"")</f>
        <v>2</v>
      </c>
      <c r="J8" s="12" t="s">
        <v>75</v>
      </c>
      <c r="K8" s="12"/>
      <c r="L8" s="12"/>
    </row>
    <row r="9" spans="1:12" ht="187.2" x14ac:dyDescent="0.3">
      <c r="A9" s="12">
        <v>12</v>
      </c>
      <c r="B9" s="12" t="s">
        <v>94</v>
      </c>
      <c r="C9" s="12"/>
      <c r="D9" s="12"/>
      <c r="E9" s="12" t="s">
        <v>22</v>
      </c>
      <c r="F9" s="13" t="s">
        <v>139</v>
      </c>
      <c r="G9" s="12" t="s">
        <v>29</v>
      </c>
      <c r="H9" s="12" t="s">
        <v>23</v>
      </c>
      <c r="I9" s="12">
        <f t="array" ref="I9">_xlfn.SWITCH(H9,"XS",1,"S",2,"M",3,"L",5,"XL",8,"XXL",13,"XXXL",21,"")</f>
        <v>2</v>
      </c>
      <c r="J9" s="12" t="s">
        <v>75</v>
      </c>
      <c r="K9" s="12"/>
      <c r="L9" s="12"/>
    </row>
    <row r="10" spans="1:12" ht="100.8" x14ac:dyDescent="0.3">
      <c r="A10" s="14">
        <v>13</v>
      </c>
      <c r="B10" s="14" t="s">
        <v>124</v>
      </c>
      <c r="C10" s="14"/>
      <c r="D10" s="14"/>
      <c r="E10" s="14" t="s">
        <v>22</v>
      </c>
      <c r="F10" s="15" t="s">
        <v>125</v>
      </c>
      <c r="G10" s="14" t="s">
        <v>29</v>
      </c>
      <c r="H10" s="14" t="s">
        <v>30</v>
      </c>
      <c r="I10" s="14">
        <f t="array" ref="I10">_xlfn.SWITCH(H10,"XS",1,"S",2,"M",3,"L",5,"XL",8,"XXL",13,"XXXL",21,"")</f>
        <v>5</v>
      </c>
      <c r="J10" s="14" t="s">
        <v>75</v>
      </c>
      <c r="K10" s="14"/>
      <c r="L10" s="14"/>
    </row>
    <row r="11" spans="1:12" ht="100.8" x14ac:dyDescent="0.3">
      <c r="A11" s="14">
        <v>14</v>
      </c>
      <c r="B11" s="14" t="s">
        <v>124</v>
      </c>
      <c r="C11" s="14"/>
      <c r="D11" s="14"/>
      <c r="E11" s="14" t="s">
        <v>31</v>
      </c>
      <c r="F11" s="15" t="s">
        <v>126</v>
      </c>
      <c r="G11" s="14" t="s">
        <v>29</v>
      </c>
      <c r="H11" s="14" t="s">
        <v>23</v>
      </c>
      <c r="I11" s="14">
        <f t="array" ref="I11">_xlfn.SWITCH(H11,"XS",1,"S",2,"M",3,"L",5,"XL",8,"XXL",13,"XXXL",21,"")</f>
        <v>2</v>
      </c>
      <c r="J11" s="14" t="s">
        <v>75</v>
      </c>
      <c r="K11" s="14"/>
      <c r="L11" s="14"/>
    </row>
    <row r="12" spans="1:12" ht="115.2" x14ac:dyDescent="0.3">
      <c r="A12" s="14">
        <v>15</v>
      </c>
      <c r="B12" s="14" t="s">
        <v>124</v>
      </c>
      <c r="C12" s="14"/>
      <c r="D12" s="14"/>
      <c r="E12" s="14" t="s">
        <v>20</v>
      </c>
      <c r="F12" s="15" t="s">
        <v>127</v>
      </c>
      <c r="G12" s="14" t="s">
        <v>29</v>
      </c>
      <c r="H12" s="14" t="s">
        <v>27</v>
      </c>
      <c r="I12" s="14">
        <f t="array" ref="I12">_xlfn.SWITCH(H12,"XS",1,"S",2,"M",3,"L",5,"XL",8,"XXL",13,"XXXL",21,"")</f>
        <v>3</v>
      </c>
      <c r="J12" s="14" t="s">
        <v>75</v>
      </c>
      <c r="K12" s="14"/>
      <c r="L12" s="14"/>
    </row>
    <row r="13" spans="1:12" ht="115.2" x14ac:dyDescent="0.3">
      <c r="A13" s="14">
        <v>16</v>
      </c>
      <c r="B13" s="14" t="s">
        <v>124</v>
      </c>
      <c r="C13" s="14"/>
      <c r="D13" s="14"/>
      <c r="E13" s="14" t="s">
        <v>20</v>
      </c>
      <c r="F13" s="15" t="s">
        <v>128</v>
      </c>
      <c r="G13" s="14" t="s">
        <v>29</v>
      </c>
      <c r="H13" s="14" t="s">
        <v>30</v>
      </c>
      <c r="I13" s="14">
        <f t="array" ref="I13">_xlfn.SWITCH(H13,"XS",1,"S",2,"M",3,"L",5,"XL",8,"XXL",13,"XXXL",21,"")</f>
        <v>5</v>
      </c>
      <c r="J13" s="14" t="s">
        <v>75</v>
      </c>
      <c r="K13" s="14"/>
      <c r="L13" s="14"/>
    </row>
    <row r="14" spans="1:12" ht="100.8" x14ac:dyDescent="0.3">
      <c r="A14" s="14">
        <v>17</v>
      </c>
      <c r="B14" s="14" t="s">
        <v>124</v>
      </c>
      <c r="C14" s="14"/>
      <c r="D14" s="14"/>
      <c r="E14" s="14" t="s">
        <v>20</v>
      </c>
      <c r="F14" s="15" t="s">
        <v>129</v>
      </c>
      <c r="G14" s="14" t="s">
        <v>29</v>
      </c>
      <c r="H14" s="14" t="s">
        <v>23</v>
      </c>
      <c r="I14" s="14">
        <f t="array" ref="I14">_xlfn.SWITCH(H14,"XS",1,"S",2,"M",3,"L",5,"XL",8,"XXL",13,"XXXL",21,"")</f>
        <v>2</v>
      </c>
      <c r="J14" s="14" t="s">
        <v>75</v>
      </c>
      <c r="K14" s="14"/>
      <c r="L14" s="14"/>
    </row>
    <row r="15" spans="1:12" ht="100.8" x14ac:dyDescent="0.3">
      <c r="A15" s="14">
        <v>18</v>
      </c>
      <c r="B15" s="14" t="s">
        <v>124</v>
      </c>
      <c r="C15" s="14"/>
      <c r="D15" s="14"/>
      <c r="E15" s="14" t="s">
        <v>20</v>
      </c>
      <c r="F15" s="15" t="s">
        <v>130</v>
      </c>
      <c r="G15" s="14" t="s">
        <v>29</v>
      </c>
      <c r="H15" s="14" t="s">
        <v>19</v>
      </c>
      <c r="I15" s="14">
        <f t="array" ref="I15">_xlfn.SWITCH(H15,"XS",1,"S",2,"M",3,"L",5,"XL",8,"XXL",13,"XXXL",21,"")</f>
        <v>1</v>
      </c>
      <c r="J15" s="14" t="s">
        <v>75</v>
      </c>
      <c r="K15" s="14"/>
      <c r="L15" s="14"/>
    </row>
    <row r="16" spans="1:12" x14ac:dyDescent="0.3">
      <c r="A16" s="6"/>
      <c r="B16" s="6"/>
      <c r="C16" s="6"/>
      <c r="D16" s="6"/>
      <c r="E16" s="6"/>
      <c r="F16" s="8"/>
      <c r="G16" s="6"/>
      <c r="H16" s="6"/>
      <c r="I16" s="6"/>
      <c r="J16" s="6"/>
      <c r="K16" s="6"/>
      <c r="L16" s="6"/>
    </row>
    <row r="17" spans="1:12" x14ac:dyDescent="0.3">
      <c r="A17" s="6"/>
      <c r="B17" s="6"/>
      <c r="C17" s="6"/>
      <c r="D17" s="6"/>
      <c r="E17" s="6"/>
      <c r="F17" s="8"/>
      <c r="G17" s="6"/>
      <c r="H17" s="6"/>
      <c r="I17" s="6" t="str">
        <f t="array" ref="I17">_xlfn.SWITCH(H17,"XS",1,"S",2,"M",3,"L",5,"XL",8,"XXL",13,"XXXL",21,"")</f>
        <v/>
      </c>
      <c r="J17" s="6"/>
      <c r="K17" s="6"/>
      <c r="L17" s="6"/>
    </row>
    <row r="18" spans="1:12" x14ac:dyDescent="0.3">
      <c r="A18" s="6"/>
      <c r="B18" s="6"/>
      <c r="C18" s="6"/>
      <c r="D18" s="6"/>
      <c r="E18" s="6"/>
      <c r="F18" s="8"/>
      <c r="G18" s="6"/>
      <c r="H18" s="6"/>
      <c r="I18" s="6" t="str">
        <f t="array" ref="I18">_xlfn.SWITCH(H18,"XS",1,"S",2,"M",3,"L",5,"XL",8,"XXL",13,"XXXL",21,"")</f>
        <v/>
      </c>
      <c r="J18" s="6"/>
      <c r="K18" s="6"/>
      <c r="L18" s="6"/>
    </row>
    <row r="19" spans="1:12" x14ac:dyDescent="0.3">
      <c r="A19" s="6"/>
      <c r="B19" s="6"/>
      <c r="C19" s="6"/>
      <c r="D19" s="6"/>
      <c r="E19" s="6"/>
      <c r="F19" s="8"/>
      <c r="G19" s="6"/>
      <c r="H19" s="6"/>
      <c r="I19" s="6" t="str">
        <f t="array" ref="I19">_xlfn.SWITCH(H19,"XS",1,"S",2,"M",3,"L",5,"XL",8,"XXL",13,"XXXL",21,"")</f>
        <v/>
      </c>
      <c r="J19" s="6"/>
      <c r="K19" s="6"/>
      <c r="L19" s="6"/>
    </row>
    <row r="20" spans="1:12" x14ac:dyDescent="0.3">
      <c r="A20" s="6"/>
      <c r="B20" s="6"/>
      <c r="C20" s="6"/>
      <c r="D20" s="6"/>
      <c r="E20" s="6"/>
      <c r="F20" s="8"/>
      <c r="G20" s="6"/>
      <c r="H20" s="6"/>
      <c r="I20" s="6" t="str">
        <f t="array" ref="I20">_xlfn.SWITCH(H20,"XS",1,"S",2,"M",3,"L",5,"XL",8,"XXL",13,"XXXL",21,"")</f>
        <v/>
      </c>
      <c r="J20" s="6"/>
      <c r="K20" s="6"/>
      <c r="L20" s="6"/>
    </row>
    <row r="21" spans="1:12" x14ac:dyDescent="0.3">
      <c r="A21" s="6"/>
      <c r="B21" s="6"/>
      <c r="C21" s="6"/>
      <c r="D21" s="6"/>
      <c r="E21" s="6"/>
      <c r="F21" s="8"/>
      <c r="G21" s="6"/>
      <c r="H21" s="6"/>
      <c r="I21" s="6" t="str">
        <f t="array" ref="I21">_xlfn.SWITCH(H21,"XS",1,"S",2,"M",3,"L",5,"XL",8,"XXL",13,"XXXL",21,"")</f>
        <v/>
      </c>
      <c r="J21" s="6"/>
      <c r="K21" s="6"/>
      <c r="L21" s="6"/>
    </row>
    <row r="22" spans="1:12" x14ac:dyDescent="0.3">
      <c r="A22" s="6"/>
      <c r="B22" s="6"/>
      <c r="C22" s="6"/>
      <c r="D22" s="6"/>
      <c r="E22" s="6"/>
      <c r="F22" s="8"/>
      <c r="G22" s="6"/>
      <c r="H22" s="6"/>
      <c r="I22" s="6" t="str">
        <f t="array" ref="I22">_xlfn.SWITCH(H22,"XS",1,"S",2,"M",3,"L",5,"XL",8,"XXL",13,"XXXL",21,"")</f>
        <v/>
      </c>
      <c r="J22" s="6"/>
      <c r="K22" s="6"/>
      <c r="L22" s="6"/>
    </row>
    <row r="23" spans="1:12" x14ac:dyDescent="0.3">
      <c r="A23" s="6"/>
      <c r="B23" s="6"/>
      <c r="C23" s="6"/>
      <c r="D23" s="6"/>
      <c r="E23" s="6"/>
      <c r="F23" s="8"/>
      <c r="G23" s="6"/>
      <c r="H23" s="6"/>
      <c r="I23" s="6" t="str">
        <f t="array" ref="I23">_xlfn.SWITCH(H23,"XS",1,"S",2,"M",3,"L",5,"XL",8,"XXL",13,"XXXL",21,"")</f>
        <v/>
      </c>
      <c r="J23" s="6"/>
      <c r="K23" s="6"/>
      <c r="L23" s="6"/>
    </row>
    <row r="24" spans="1:12" x14ac:dyDescent="0.3">
      <c r="A24" s="6"/>
      <c r="B24" s="6"/>
      <c r="C24" s="6"/>
      <c r="D24" s="6"/>
      <c r="E24" s="6"/>
      <c r="F24" s="5"/>
      <c r="G24" s="6"/>
      <c r="H24" s="6"/>
      <c r="I24" s="6" t="str">
        <f t="array" ref="I24">_xlfn.SWITCH(H24,"XS",1,"S",2,"M",3,"L",5,"XL",8,"XXL",13,"XXXL",21,"")</f>
        <v/>
      </c>
      <c r="J24" s="6"/>
      <c r="K24" s="6"/>
      <c r="L24" s="6"/>
    </row>
    <row r="25" spans="1:12" x14ac:dyDescent="0.3">
      <c r="A25" s="6"/>
      <c r="B25" s="6"/>
      <c r="C25" s="6"/>
      <c r="D25" s="6"/>
      <c r="E25" s="6"/>
      <c r="F25" s="7"/>
      <c r="G25" s="6"/>
      <c r="H25" s="6"/>
      <c r="I25" s="6" t="str">
        <f t="array" ref="I25">_xlfn.SWITCH(H25,"XS",1,"S",2,"M",3,"L",5,"XL",8,"XXL",13,"XXXL",21,"")</f>
        <v/>
      </c>
      <c r="J25" s="6"/>
      <c r="K25" s="6"/>
      <c r="L25" s="6"/>
    </row>
    <row r="26" spans="1:12" x14ac:dyDescent="0.3">
      <c r="A26" s="6"/>
      <c r="B26" s="6"/>
      <c r="C26" s="6"/>
      <c r="D26" s="6"/>
      <c r="E26" s="6"/>
      <c r="F26" s="7"/>
      <c r="G26" s="6"/>
      <c r="H26" s="6"/>
      <c r="I26" s="6" t="str">
        <f t="array" ref="I26">_xlfn.SWITCH(H26,"XS",1,"S",2,"M",3,"L",5,"XL",8,"XXL",13,"XXXL",21,"")</f>
        <v/>
      </c>
      <c r="J26" s="6"/>
      <c r="K26" s="6"/>
      <c r="L26" s="6"/>
    </row>
    <row r="27" spans="1:12" x14ac:dyDescent="0.3">
      <c r="A27" s="6"/>
      <c r="B27" s="6"/>
      <c r="C27" s="6"/>
      <c r="D27" s="6"/>
      <c r="E27" s="6"/>
      <c r="F27" s="7"/>
      <c r="G27" s="6"/>
      <c r="H27" s="6"/>
      <c r="I27" s="6" t="str">
        <f t="array" ref="I27">_xlfn.SWITCH(H27,"XS",1,"S",2,"M",3,"L",5,"XL",8,"XXL",13,"XXXL",21,"")</f>
        <v/>
      </c>
      <c r="J27" s="6"/>
      <c r="K27" s="6"/>
      <c r="L27" s="6"/>
    </row>
    <row r="28" spans="1:12" x14ac:dyDescent="0.3">
      <c r="A28" s="6"/>
      <c r="B28" s="6"/>
      <c r="C28" s="6"/>
      <c r="D28" s="6"/>
      <c r="E28" s="6"/>
      <c r="F28" s="7"/>
      <c r="G28" s="6"/>
      <c r="H28" s="6"/>
      <c r="I28" s="6" t="str">
        <f t="array" ref="I28">_xlfn.SWITCH(H28,"XS",1,"S",2,"M",3,"L",5,"XL",8,"XXL",13,"XXXL",21,"")</f>
        <v/>
      </c>
      <c r="J28" s="6"/>
      <c r="K28" s="6"/>
      <c r="L28" s="6"/>
    </row>
    <row r="29" spans="1:12" x14ac:dyDescent="0.3">
      <c r="A29" s="6"/>
      <c r="B29" s="6"/>
      <c r="C29" s="6"/>
      <c r="D29" s="6"/>
      <c r="E29" s="6"/>
      <c r="F29" s="7"/>
      <c r="G29" s="6"/>
      <c r="H29" s="6"/>
      <c r="I29" s="6" t="str">
        <f t="array" ref="I29">_xlfn.SWITCH(H29,"XS",1,"S",2,"M",3,"L",5,"XL",8,"XXL",13,"XXXL",21,"")</f>
        <v/>
      </c>
      <c r="J29" s="6"/>
      <c r="K29" s="6"/>
      <c r="L29" s="6"/>
    </row>
    <row r="30" spans="1:12" x14ac:dyDescent="0.3">
      <c r="A30" s="6"/>
      <c r="B30" s="6"/>
      <c r="C30" s="6"/>
      <c r="D30" s="6"/>
      <c r="E30" s="6"/>
      <c r="F30" s="7"/>
      <c r="G30" s="6"/>
      <c r="H30" s="6"/>
      <c r="I30" s="6" t="str">
        <f t="array" ref="I30">_xlfn.SWITCH(H30,"XS",1,"S",2,"M",3,"L",5,"XL",8,"XXL",13,"XXXL",21,"")</f>
        <v/>
      </c>
      <c r="J30" s="6"/>
      <c r="K30" s="6"/>
      <c r="L30" s="6"/>
    </row>
    <row r="31" spans="1:12" x14ac:dyDescent="0.3">
      <c r="A31" s="6"/>
      <c r="B31" s="6"/>
      <c r="C31" s="6"/>
      <c r="D31" s="6"/>
      <c r="E31" s="6"/>
      <c r="F31" s="7"/>
      <c r="G31" s="6"/>
      <c r="H31" s="6"/>
      <c r="I31" s="6" t="str">
        <f t="array" ref="I31">_xlfn.SWITCH(H31,"XS",1,"S",2,"M",3,"L",5,"XL",8,"XXL",13,"XXXL",21,"")</f>
        <v/>
      </c>
      <c r="J31" s="6"/>
      <c r="K31" s="6"/>
      <c r="L31" s="6"/>
    </row>
    <row r="32" spans="1:12" x14ac:dyDescent="0.3">
      <c r="A32" s="6"/>
      <c r="B32" s="6"/>
      <c r="C32" s="6"/>
      <c r="D32" s="6"/>
      <c r="E32" s="6"/>
      <c r="F32" s="7"/>
      <c r="G32" s="6"/>
      <c r="H32" s="6"/>
      <c r="I32" s="6" t="str">
        <f t="array" ref="I32">_xlfn.SWITCH(H32,"XS",1,"S",2,"M",3,"L",5,"XL",8,"XXL",13,"XXXL",21,"")</f>
        <v/>
      </c>
      <c r="J32" s="6"/>
      <c r="K32" s="6"/>
      <c r="L32" s="6"/>
    </row>
    <row r="33" spans="1:12" x14ac:dyDescent="0.3">
      <c r="A33" s="6"/>
      <c r="B33" s="6"/>
      <c r="C33" s="6"/>
      <c r="D33" s="6"/>
      <c r="E33" s="6"/>
      <c r="F33" s="7"/>
      <c r="G33" s="6"/>
      <c r="H33" s="6"/>
      <c r="I33" s="6" t="str">
        <f t="array" ref="I33">_xlfn.SWITCH(H33,"XS",1,"S",2,"M",3,"L",5,"XL",8,"XXL",13,"XXXL",21,"")</f>
        <v/>
      </c>
      <c r="J33" s="6"/>
      <c r="K33" s="6"/>
      <c r="L33" s="6"/>
    </row>
    <row r="34" spans="1:12" x14ac:dyDescent="0.3">
      <c r="A34" s="6"/>
      <c r="B34" s="6"/>
      <c r="C34" s="6"/>
      <c r="D34" s="6"/>
      <c r="E34" s="6"/>
      <c r="F34" s="7"/>
      <c r="G34" s="6"/>
      <c r="H34" s="6"/>
      <c r="I34" s="6" t="str">
        <f t="array" ref="I34">_xlfn.SWITCH(H34,"XS",1,"S",2,"M",3,"L",5,"XL",8,"XXL",13,"XXXL",21,"")</f>
        <v/>
      </c>
      <c r="J34" s="6"/>
      <c r="K34" s="6"/>
      <c r="L34" s="6"/>
    </row>
    <row r="35" spans="1:12" x14ac:dyDescent="0.3">
      <c r="A35" s="6"/>
      <c r="B35" s="6"/>
      <c r="C35" s="6"/>
      <c r="D35" s="6"/>
      <c r="E35" s="6"/>
      <c r="F35" s="7"/>
      <c r="G35" s="6"/>
      <c r="H35" s="6"/>
      <c r="I35" s="6" t="str">
        <f t="array" ref="I35">_xlfn.SWITCH(H35,"XS",1,"S",2,"M",3,"L",5,"XL",8,"XXL",13,"XXXL",21,"")</f>
        <v/>
      </c>
      <c r="J35" s="6"/>
      <c r="K35" s="6"/>
      <c r="L35" s="6"/>
    </row>
    <row r="36" spans="1:12" x14ac:dyDescent="0.3">
      <c r="A36" s="6"/>
      <c r="B36" s="6"/>
      <c r="C36" s="6"/>
      <c r="D36" s="6"/>
      <c r="E36" s="6"/>
      <c r="F36" s="7"/>
      <c r="G36" s="6"/>
      <c r="H36" s="6"/>
      <c r="I36" s="6" t="str">
        <f t="array" ref="I36">_xlfn.SWITCH(H36,"XS",1,"S",2,"M",3,"L",5,"XL",8,"XXL",13,"XXXL",21,"")</f>
        <v/>
      </c>
      <c r="J36" s="6"/>
      <c r="K36" s="6"/>
      <c r="L36" s="6"/>
    </row>
    <row r="37" spans="1:12" x14ac:dyDescent="0.3">
      <c r="A37" s="6"/>
      <c r="B37" s="6"/>
      <c r="C37" s="6"/>
      <c r="D37" s="6"/>
      <c r="E37" s="6"/>
      <c r="F37" s="7"/>
      <c r="G37" s="6"/>
      <c r="H37" s="6"/>
      <c r="I37" s="6" t="str">
        <f t="array" ref="I37">_xlfn.SWITCH(H37,"XS",1,"S",2,"M",3,"L",5,"XL",8,"XXL",13,"XXXL",21,"")</f>
        <v/>
      </c>
      <c r="J37" s="6"/>
      <c r="K37" s="6"/>
      <c r="L37" s="6"/>
    </row>
    <row r="38" spans="1:12" x14ac:dyDescent="0.3">
      <c r="A38" s="6"/>
      <c r="B38" s="6"/>
      <c r="C38" s="6"/>
      <c r="D38" s="6"/>
      <c r="E38" s="6"/>
      <c r="F38" s="7"/>
      <c r="G38" s="6"/>
      <c r="H38" s="6"/>
      <c r="I38" s="6" t="str">
        <f t="array" ref="I38">_xlfn.SWITCH(H38,"XS",1,"S",2,"M",3,"L",5,"XL",8,"XXL",13,"XXXL",21,"")</f>
        <v/>
      </c>
      <c r="J38" s="6"/>
      <c r="K38" s="6"/>
      <c r="L38" s="6"/>
    </row>
    <row r="39" spans="1:12" x14ac:dyDescent="0.3">
      <c r="A39" s="6"/>
      <c r="B39" s="6"/>
      <c r="C39" s="6"/>
      <c r="D39" s="6"/>
      <c r="E39" s="6"/>
      <c r="F39" s="7"/>
      <c r="G39" s="6"/>
      <c r="H39" s="6"/>
      <c r="I39" s="6" t="str">
        <f t="array" ref="I39">_xlfn.SWITCH(H39,"XS",1,"S",2,"M",3,"L",5,"XL",8,"XXL",13,"XXXL",21,"")</f>
        <v/>
      </c>
      <c r="J39" s="6"/>
      <c r="K39" s="6"/>
      <c r="L39" s="6"/>
    </row>
    <row r="40" spans="1:12" x14ac:dyDescent="0.3">
      <c r="A40" s="6"/>
      <c r="B40" s="6"/>
      <c r="C40" s="6"/>
      <c r="D40" s="6"/>
      <c r="E40" s="6"/>
      <c r="F40" s="7"/>
      <c r="G40" s="6"/>
      <c r="H40" s="6"/>
      <c r="I40" s="6" t="str">
        <f t="array" ref="I40">_xlfn.SWITCH(H40,"XS",1,"S",2,"M",3,"L",5,"XL",8,"XXL",13,"XXXL",21,"")</f>
        <v/>
      </c>
      <c r="J40" s="6"/>
      <c r="K40" s="6"/>
      <c r="L40" s="6"/>
    </row>
    <row r="41" spans="1:12" x14ac:dyDescent="0.3">
      <c r="A41" s="6"/>
      <c r="B41" s="6"/>
      <c r="C41" s="6"/>
      <c r="D41" s="6"/>
      <c r="E41" s="6"/>
      <c r="F41" s="7"/>
      <c r="G41" s="6"/>
      <c r="H41" s="6"/>
      <c r="I41" s="6" t="str">
        <f t="array" ref="I41">_xlfn.SWITCH(H41,"XS",1,"S",2,"M",3,"L",5,"XL",8,"XXL",13,"XXXL",21,"")</f>
        <v/>
      </c>
      <c r="J41" s="6"/>
      <c r="K41" s="6"/>
      <c r="L41" s="6"/>
    </row>
    <row r="42" spans="1:12" x14ac:dyDescent="0.3">
      <c r="A42" s="6"/>
      <c r="B42" s="6"/>
      <c r="C42" s="6"/>
      <c r="D42" s="6"/>
      <c r="E42" s="6"/>
      <c r="F42" s="8"/>
      <c r="G42" s="6"/>
      <c r="H42" s="6"/>
      <c r="I42" s="6" t="str">
        <f t="array" ref="I42">_xlfn.SWITCH(H42,"XS",1,"S",2,"M",3,"L",5,"XL",8,"XXL",13,"XXXL",21,"")</f>
        <v/>
      </c>
      <c r="J42" s="6"/>
      <c r="K42" s="6"/>
      <c r="L42" s="6"/>
    </row>
    <row r="43" spans="1:12" x14ac:dyDescent="0.3">
      <c r="A43" s="6"/>
      <c r="B43" s="6"/>
      <c r="C43" s="6"/>
      <c r="D43" s="6"/>
      <c r="E43" s="6"/>
      <c r="F43" s="8"/>
      <c r="G43" s="6"/>
      <c r="H43" s="6"/>
      <c r="I43" s="6" t="str">
        <f t="array" ref="I43">_xlfn.SWITCH(H43,"XS",1,"S",2,"M",3,"L",5,"XL",8,"XXL",13,"XXXL",21,"")</f>
        <v/>
      </c>
      <c r="J43" s="6"/>
      <c r="K43" s="6"/>
      <c r="L43" s="6"/>
    </row>
    <row r="44" spans="1:12" x14ac:dyDescent="0.3">
      <c r="A44" s="6"/>
      <c r="B44" s="6"/>
      <c r="C44" s="6"/>
      <c r="D44" s="6"/>
      <c r="E44" s="6"/>
      <c r="F44" s="8"/>
      <c r="G44" s="6"/>
      <c r="H44" s="6"/>
      <c r="I44" s="6" t="str">
        <f t="array" ref="I44">_xlfn.SWITCH(H44,"XS",1,"S",2,"M",3,"L",5,"XL",8,"XXL",13,"XXXL",21,"")</f>
        <v/>
      </c>
      <c r="J44" s="6"/>
      <c r="K44" s="6"/>
      <c r="L44" s="6"/>
    </row>
    <row r="45" spans="1:12" x14ac:dyDescent="0.3">
      <c r="A45" s="6"/>
      <c r="B45" s="6"/>
      <c r="C45" s="6"/>
      <c r="D45" s="6"/>
      <c r="E45" s="6"/>
      <c r="F45" s="8"/>
      <c r="G45" s="6"/>
      <c r="H45" s="6"/>
      <c r="I45" s="6" t="str">
        <f t="array" ref="I45">_xlfn.SWITCH(H45,"XS",1,"S",2,"M",3,"L",5,"XL",8,"XXL",13,"XXXL",21,"")</f>
        <v/>
      </c>
      <c r="J45" s="6"/>
      <c r="K45" s="6"/>
      <c r="L45" s="6"/>
    </row>
    <row r="46" spans="1:12" x14ac:dyDescent="0.3">
      <c r="A46" s="6"/>
      <c r="B46" s="6"/>
      <c r="C46" s="6"/>
      <c r="D46" s="6"/>
      <c r="E46" s="6"/>
      <c r="F46" s="8"/>
      <c r="G46" s="6"/>
      <c r="H46" s="6"/>
      <c r="I46" s="6" t="str">
        <f t="array" ref="I46">_xlfn.SWITCH(H46,"XS",1,"S",2,"M",3,"L",5,"XL",8,"XXL",13,"XXXL",21,"")</f>
        <v/>
      </c>
      <c r="J46" s="6"/>
      <c r="K46" s="6"/>
      <c r="L46" s="6"/>
    </row>
    <row r="47" spans="1:12" x14ac:dyDescent="0.3">
      <c r="A47" s="6"/>
      <c r="B47" s="6"/>
      <c r="C47" s="6"/>
      <c r="D47" s="6"/>
      <c r="E47" s="6"/>
      <c r="F47" s="8"/>
      <c r="G47" s="6"/>
      <c r="H47" s="6"/>
      <c r="I47" s="6" t="str">
        <f t="array" ref="I47">_xlfn.SWITCH(H47,"XS",1,"S",2,"M",3,"L",5,"XL",8,"XXL",13,"XXXL",21,"")</f>
        <v/>
      </c>
      <c r="J47" s="6"/>
      <c r="K47" s="6"/>
      <c r="L47" s="6"/>
    </row>
    <row r="48" spans="1:12" x14ac:dyDescent="0.3">
      <c r="A48" s="6"/>
      <c r="B48" s="6"/>
      <c r="C48" s="6"/>
      <c r="D48" s="6"/>
      <c r="E48" s="6"/>
      <c r="F48" s="7"/>
      <c r="G48" s="6"/>
      <c r="H48" s="6"/>
      <c r="I48" s="6" t="str">
        <f t="array" ref="I48">_xlfn.SWITCH(H48,"XS",1,"S",2,"M",3,"L",5,"XL",8,"XXL",13,"XXXL",21,"")</f>
        <v/>
      </c>
      <c r="J48" s="6"/>
      <c r="K48" s="6"/>
      <c r="L48" s="6"/>
    </row>
    <row r="49" spans="1:12" x14ac:dyDescent="0.3">
      <c r="A49" s="6"/>
      <c r="B49" s="6"/>
      <c r="C49" s="6"/>
      <c r="D49" s="6"/>
      <c r="E49" s="6"/>
      <c r="F49" s="7"/>
      <c r="G49" s="6"/>
      <c r="H49" s="6"/>
      <c r="I49" s="6" t="str">
        <f t="array" ref="I49">_xlfn.SWITCH(H49,"XS",1,"S",2,"M",3,"L",5,"XL",8,"XXL",13,"XXXL",21,"")</f>
        <v/>
      </c>
      <c r="J49" s="6"/>
      <c r="K49" s="6"/>
      <c r="L49" s="6"/>
    </row>
    <row r="50" spans="1:12" x14ac:dyDescent="0.3">
      <c r="A50" s="6"/>
      <c r="B50" s="6"/>
      <c r="C50" s="6"/>
      <c r="D50" s="6"/>
      <c r="E50" s="6"/>
      <c r="F50" s="7"/>
      <c r="G50" s="6"/>
      <c r="H50" s="6"/>
      <c r="I50" s="6" t="str">
        <f t="array" ref="I50">_xlfn.SWITCH(H50,"XS",1,"S",2,"M",3,"L",5,"XL",8,"XXL",13,"XXXL",21,"")</f>
        <v/>
      </c>
      <c r="J50" s="6"/>
      <c r="K50" s="6"/>
      <c r="L50" s="6"/>
    </row>
    <row r="51" spans="1:12" x14ac:dyDescent="0.3">
      <c r="A51" s="6"/>
      <c r="B51" s="6"/>
      <c r="C51" s="6"/>
      <c r="D51" s="6"/>
      <c r="E51" s="6"/>
      <c r="F51" s="7"/>
      <c r="G51" s="6"/>
      <c r="H51" s="6"/>
      <c r="I51" s="6" t="str">
        <f t="array" ref="I51">_xlfn.SWITCH(H51,"XS",1,"S",2,"M",3,"L",5,"XL",8,"XXL",13,"XXXL",21,"")</f>
        <v/>
      </c>
      <c r="J51" s="6"/>
      <c r="K51" s="6"/>
      <c r="L51" s="6"/>
    </row>
    <row r="52" spans="1:12" x14ac:dyDescent="0.3">
      <c r="A52" s="6"/>
      <c r="B52" s="6"/>
      <c r="C52" s="6"/>
      <c r="D52" s="6"/>
      <c r="E52" s="6"/>
      <c r="F52" s="7"/>
      <c r="G52" s="6"/>
      <c r="H52" s="6"/>
      <c r="I52" s="6" t="str">
        <f t="array" ref="I52">_xlfn.SWITCH(H52,"XS",1,"S",2,"M",3,"L",5,"XL",8,"XXL",13,"XXXL",21,"")</f>
        <v/>
      </c>
      <c r="J52" s="6"/>
      <c r="K52" s="6"/>
      <c r="L52" s="6"/>
    </row>
    <row r="53" spans="1:12" x14ac:dyDescent="0.3">
      <c r="A53" s="6"/>
      <c r="B53" s="6"/>
      <c r="C53" s="6"/>
      <c r="D53" s="6"/>
      <c r="E53" s="6"/>
      <c r="F53" s="7"/>
      <c r="G53" s="6"/>
      <c r="H53" s="6"/>
      <c r="I53" s="6" t="str">
        <f t="array" ref="I53">_xlfn.SWITCH(H53,"XS",1,"S",2,"M",3,"L",5,"XL",8,"XXL",13,"XXXL",21,"")</f>
        <v/>
      </c>
      <c r="J53" s="6"/>
      <c r="K53" s="6"/>
      <c r="L53" s="6"/>
    </row>
    <row r="54" spans="1:12" x14ac:dyDescent="0.3">
      <c r="A54" s="6"/>
      <c r="B54" s="6"/>
      <c r="C54" s="6"/>
      <c r="D54" s="6"/>
      <c r="E54" s="6"/>
      <c r="F54" s="7"/>
      <c r="G54" s="6"/>
      <c r="H54" s="6"/>
      <c r="I54" s="6" t="str">
        <f t="array" ref="I54">_xlfn.SWITCH(H54,"XS",1,"S",2,"M",3,"L",5,"XL",8,"XXL",13,"XXXL",21,"")</f>
        <v/>
      </c>
      <c r="J54" s="6"/>
      <c r="K54" s="6"/>
      <c r="L54" s="6"/>
    </row>
    <row r="55" spans="1:12" x14ac:dyDescent="0.3">
      <c r="A55" s="6"/>
      <c r="B55" s="6"/>
      <c r="C55" s="6"/>
      <c r="D55" s="6"/>
      <c r="E55" s="6"/>
      <c r="F55" s="7"/>
      <c r="G55" s="6"/>
      <c r="H55" s="6"/>
      <c r="I55" s="6" t="str">
        <f t="array" ref="I55">_xlfn.SWITCH(H55,"XS",1,"S",2,"M",3,"L",5,"XL",8,"XXL",13,"XXXL",21,"")</f>
        <v/>
      </c>
      <c r="J55" s="6"/>
      <c r="K55" s="6"/>
      <c r="L55" s="6"/>
    </row>
    <row r="56" spans="1:12" x14ac:dyDescent="0.3">
      <c r="A56" s="6"/>
      <c r="B56" s="6"/>
      <c r="C56" s="6"/>
      <c r="D56" s="6"/>
      <c r="E56" s="6"/>
      <c r="F56" s="7"/>
      <c r="G56" s="6"/>
      <c r="H56" s="6"/>
      <c r="I56" s="6" t="str">
        <f t="array" ref="I56">_xlfn.SWITCH(H56,"XS",1,"S",2,"M",3,"L",5,"XL",8,"XXL",13,"XXXL",21,"")</f>
        <v/>
      </c>
      <c r="J56" s="6"/>
      <c r="K56" s="6"/>
      <c r="L56" s="6"/>
    </row>
    <row r="57" spans="1:12" x14ac:dyDescent="0.3">
      <c r="A57" s="6"/>
      <c r="B57" s="6"/>
      <c r="C57" s="6"/>
      <c r="D57" s="6"/>
      <c r="E57" s="6"/>
      <c r="F57" s="7"/>
      <c r="G57" s="6"/>
      <c r="H57" s="6"/>
      <c r="I57" s="6" t="str">
        <f t="array" ref="I57">_xlfn.SWITCH(H57,"XS",1,"S",2,"M",3,"L",5,"XL",8,"XXL",13,"XXXL",21,"")</f>
        <v/>
      </c>
      <c r="J57" s="6"/>
      <c r="K57" s="6"/>
      <c r="L57" s="6"/>
    </row>
    <row r="58" spans="1:12" x14ac:dyDescent="0.3">
      <c r="A58" s="6"/>
      <c r="B58" s="6"/>
      <c r="C58" s="6"/>
      <c r="D58" s="6"/>
      <c r="E58" s="6"/>
      <c r="F58" s="7"/>
      <c r="G58" s="6"/>
      <c r="H58" s="6"/>
      <c r="I58" s="6" t="str">
        <f t="array" ref="I58">_xlfn.SWITCH(H58,"XS",1,"S",2,"M",3,"L",5,"XL",8,"XXL",13,"XXXL",21,"")</f>
        <v/>
      </c>
      <c r="J58" s="6"/>
      <c r="K58" s="6"/>
      <c r="L58" s="6"/>
    </row>
    <row r="59" spans="1:12" x14ac:dyDescent="0.3">
      <c r="A59" s="6"/>
      <c r="B59" s="6"/>
      <c r="C59" s="6"/>
      <c r="D59" s="6"/>
      <c r="E59" s="6"/>
      <c r="F59" s="5"/>
      <c r="G59" s="6"/>
      <c r="H59" s="6"/>
      <c r="I59" s="6" t="str">
        <f t="array" ref="I59">_xlfn.SWITCH(H59,"XS",1,"S",2,"M",3,"L",5,"XL",8,"XXL",13,"XXXL",21,"")</f>
        <v/>
      </c>
      <c r="J59" s="6"/>
      <c r="K59" s="6"/>
      <c r="L59" s="6"/>
    </row>
    <row r="60" spans="1:12" x14ac:dyDescent="0.3">
      <c r="A60" s="6"/>
      <c r="B60" s="6"/>
      <c r="C60" s="6"/>
      <c r="D60" s="6"/>
      <c r="E60" s="6"/>
      <c r="F60" s="7"/>
      <c r="G60" s="6"/>
      <c r="H60" s="6"/>
      <c r="I60" s="6" t="str">
        <f t="array" ref="I60">_xlfn.SWITCH(H60,"XS",1,"S",2,"M",3,"L",5,"XL",8,"XXL",13,"XXXL",21,"")</f>
        <v/>
      </c>
      <c r="J60" s="6"/>
      <c r="K60" s="6"/>
      <c r="L60" s="6"/>
    </row>
    <row r="61" spans="1:12" x14ac:dyDescent="0.3">
      <c r="A61" s="6"/>
      <c r="B61" s="6"/>
      <c r="C61" s="6"/>
      <c r="D61" s="6"/>
      <c r="E61" s="6"/>
      <c r="F61" s="5"/>
      <c r="G61" s="6"/>
      <c r="H61" s="6"/>
      <c r="I61" s="6" t="str">
        <f t="array" ref="I61">_xlfn.SWITCH(H61,"XS",1,"S",2,"M",3,"L",5,"XL",8,"XXL",13,"XXXL",21,"")</f>
        <v/>
      </c>
      <c r="J61" s="6"/>
      <c r="K61" s="6"/>
      <c r="L61" s="6"/>
    </row>
    <row r="62" spans="1:12" x14ac:dyDescent="0.3">
      <c r="A62" s="6"/>
      <c r="B62" s="6"/>
      <c r="C62" s="6"/>
      <c r="D62" s="6"/>
      <c r="E62" s="6"/>
      <c r="F62" s="5"/>
      <c r="G62" s="6"/>
      <c r="H62" s="6"/>
      <c r="I62" s="6" t="str">
        <f t="array" ref="I62">_xlfn.SWITCH(H62,"XS",1,"S",2,"M",3,"L",5,"XL",8,"XXL",13,"XXXL",21,"")</f>
        <v/>
      </c>
      <c r="J62" s="6"/>
      <c r="K62" s="6"/>
      <c r="L62" s="6"/>
    </row>
    <row r="63" spans="1:12" x14ac:dyDescent="0.3">
      <c r="A63" s="6"/>
      <c r="B63" s="6"/>
      <c r="C63" s="6"/>
      <c r="D63" s="6"/>
      <c r="E63" s="6"/>
      <c r="F63" s="7"/>
      <c r="G63" s="6"/>
      <c r="H63" s="6"/>
      <c r="I63" s="6" t="str">
        <f t="array" ref="I63">_xlfn.SWITCH(H63,"XS",1,"S",2,"M",3,"L",5,"XL",8,"XXL",13,"XXXL",21,"")</f>
        <v/>
      </c>
      <c r="J63" s="6"/>
      <c r="K63" s="6"/>
      <c r="L63" s="6"/>
    </row>
    <row r="64" spans="1:12" x14ac:dyDescent="0.3">
      <c r="A64" s="6"/>
      <c r="B64" s="6"/>
      <c r="C64" s="6"/>
      <c r="D64" s="6"/>
      <c r="E64" s="6"/>
      <c r="F64" s="7"/>
      <c r="G64" s="6"/>
      <c r="H64" s="6"/>
      <c r="I64" s="6" t="str">
        <f t="array" ref="I64">_xlfn.SWITCH(H64,"XS",1,"S",2,"M",3,"L",5,"XL",8,"XXL",13,"XXXL",21,"")</f>
        <v/>
      </c>
      <c r="J64" s="6"/>
      <c r="K64" s="6"/>
      <c r="L64" s="6"/>
    </row>
    <row r="65" spans="1:12" x14ac:dyDescent="0.3">
      <c r="A65" s="6"/>
      <c r="B65" s="6"/>
      <c r="C65" s="6"/>
      <c r="D65" s="6"/>
      <c r="E65" s="6"/>
      <c r="F65" s="7"/>
      <c r="G65" s="6"/>
      <c r="H65" s="6"/>
      <c r="I65" s="6" t="str">
        <f t="array" ref="I65">_xlfn.SWITCH(H65,"XS",1,"S",2,"M",3,"L",5,"XL",8,"XXL",13,"XXXL",21,"")</f>
        <v/>
      </c>
      <c r="J65" s="6"/>
      <c r="K65" s="6"/>
      <c r="L65" s="6"/>
    </row>
    <row r="66" spans="1:12" x14ac:dyDescent="0.3">
      <c r="A66" s="6"/>
      <c r="B66" s="6"/>
      <c r="C66" s="6"/>
      <c r="D66" s="6"/>
      <c r="E66" s="6"/>
      <c r="F66" s="7"/>
      <c r="G66" s="6"/>
      <c r="H66" s="6"/>
      <c r="I66" s="6" t="str">
        <f t="array" ref="I66">_xlfn.SWITCH(H66,"XS",1,"S",2,"M",3,"L",5,"XL",8,"XXL",13,"XXXL",21,"")</f>
        <v/>
      </c>
      <c r="J66" s="6"/>
      <c r="K66" s="6"/>
      <c r="L66" s="6"/>
    </row>
    <row r="67" spans="1:12" x14ac:dyDescent="0.3">
      <c r="A67" s="6"/>
      <c r="B67" s="6"/>
      <c r="C67" s="6"/>
      <c r="D67" s="6"/>
      <c r="E67" s="6"/>
      <c r="F67" s="7"/>
      <c r="G67" s="6"/>
      <c r="H67" s="6"/>
      <c r="I67" s="6" t="str">
        <f t="array" ref="I67">_xlfn.SWITCH(H67,"XS",1,"S",2,"M",3,"L",5,"XL",8,"XXL",13,"XXXL",21,"")</f>
        <v/>
      </c>
      <c r="J67" s="6"/>
      <c r="K67" s="6"/>
      <c r="L67" s="6"/>
    </row>
    <row r="68" spans="1:12" x14ac:dyDescent="0.3">
      <c r="A68" s="6"/>
      <c r="B68" s="6"/>
      <c r="C68" s="6"/>
      <c r="D68" s="6"/>
      <c r="E68" s="6"/>
      <c r="F68" s="8"/>
      <c r="G68" s="6"/>
      <c r="H68" s="6"/>
      <c r="I68" s="6" t="str">
        <f t="array" ref="I68">_xlfn.SWITCH(H68,"XS",1,"S",2,"M",3,"L",5,"XL",8,"XXL",13,"XXXL",21,"")</f>
        <v/>
      </c>
      <c r="J68" s="6"/>
      <c r="K68" s="6"/>
      <c r="L68" s="6"/>
    </row>
    <row r="69" spans="1:12" x14ac:dyDescent="0.3">
      <c r="A69" s="6"/>
      <c r="B69" s="6"/>
      <c r="C69" s="6"/>
      <c r="D69" s="6"/>
      <c r="E69" s="6"/>
      <c r="F69" s="8"/>
      <c r="G69" s="6"/>
      <c r="H69" s="6"/>
      <c r="I69" s="6" t="str">
        <f t="array" ref="I69">_xlfn.SWITCH(H69,"XS",1,"S",2,"M",3,"L",5,"XL",8,"XXL",13,"XXXL",21,"")</f>
        <v/>
      </c>
      <c r="J69" s="6"/>
      <c r="K69" s="6"/>
      <c r="L69" s="6"/>
    </row>
    <row r="70" spans="1:12" x14ac:dyDescent="0.3">
      <c r="A70" s="6"/>
      <c r="B70" s="6"/>
      <c r="C70" s="6"/>
      <c r="D70" s="6"/>
      <c r="E70" s="6"/>
      <c r="F70" s="8"/>
      <c r="G70" s="6"/>
      <c r="H70" s="6"/>
      <c r="I70" s="6" t="str">
        <f t="array" ref="I70">_xlfn.SWITCH(H70,"XS",1,"S",2,"M",3,"L",5,"XL",8,"XXL",13,"XXXL",21,"")</f>
        <v/>
      </c>
      <c r="J70" s="6"/>
      <c r="K70" s="6"/>
      <c r="L70" s="6"/>
    </row>
    <row r="71" spans="1:12" x14ac:dyDescent="0.3">
      <c r="A71" s="6"/>
      <c r="B71" s="6"/>
      <c r="C71" s="6"/>
      <c r="D71" s="6"/>
      <c r="E71" s="6"/>
      <c r="F71" s="8"/>
      <c r="G71" s="6"/>
      <c r="H71" s="6"/>
      <c r="I71" s="6" t="str">
        <f t="array" ref="I71">_xlfn.SWITCH(H71,"XS",1,"S",2,"M",3,"L",5,"XL",8,"XXL",13,"XXXL",21,"")</f>
        <v/>
      </c>
      <c r="J71" s="6"/>
      <c r="K71" s="6"/>
      <c r="L71" s="6"/>
    </row>
    <row r="72" spans="1:12" x14ac:dyDescent="0.3">
      <c r="A72" s="6"/>
      <c r="B72" s="6"/>
      <c r="C72" s="6"/>
      <c r="D72" s="6"/>
      <c r="E72" s="6"/>
      <c r="F72" s="8"/>
      <c r="G72" s="6"/>
      <c r="H72" s="6"/>
      <c r="I72" s="6" t="str">
        <f t="array" ref="I72">_xlfn.SWITCH(H72,"XS",1,"S",2,"M",3,"L",5,"XL",8,"XXL",13,"XXXL",21,"")</f>
        <v/>
      </c>
      <c r="J72" s="6"/>
      <c r="K72" s="6"/>
      <c r="L72" s="6"/>
    </row>
    <row r="73" spans="1:12" x14ac:dyDescent="0.3">
      <c r="A73" s="6"/>
      <c r="B73" s="6"/>
      <c r="C73" s="6"/>
      <c r="D73" s="6"/>
      <c r="E73" s="6"/>
      <c r="F73" s="8"/>
      <c r="G73" s="6"/>
      <c r="H73" s="6"/>
      <c r="I73" s="6" t="str">
        <f t="array" ref="I73">_xlfn.SWITCH(H73,"XS",1,"S",2,"M",3,"L",5,"XL",8,"XXL",13,"XXXL",21,"")</f>
        <v/>
      </c>
      <c r="J73" s="6"/>
      <c r="K73" s="6"/>
      <c r="L73" s="6"/>
    </row>
    <row r="74" spans="1:12" x14ac:dyDescent="0.3">
      <c r="A74" s="6"/>
      <c r="B74" s="6"/>
      <c r="C74" s="6"/>
      <c r="D74" s="6"/>
      <c r="E74" s="6"/>
      <c r="F74" s="8"/>
      <c r="G74" s="6"/>
      <c r="H74" s="6"/>
      <c r="I74" s="6" t="str">
        <f t="array" ref="I74">_xlfn.SWITCH(H74,"XS",1,"S",2,"M",3,"L",5,"XL",8,"XXL",13,"XXXL",21,"")</f>
        <v/>
      </c>
      <c r="J74" s="6"/>
      <c r="K74" s="6"/>
      <c r="L74" s="6"/>
    </row>
    <row r="75" spans="1:12" x14ac:dyDescent="0.3">
      <c r="A75" s="6"/>
      <c r="B75" s="6"/>
      <c r="C75" s="6"/>
      <c r="D75" s="6"/>
      <c r="E75" s="6"/>
      <c r="F75" s="8"/>
      <c r="G75" s="6"/>
      <c r="H75" s="6"/>
      <c r="I75" s="6" t="str">
        <f t="array" ref="I75">_xlfn.SWITCH(H75,"XS",1,"S",2,"M",3,"L",5,"XL",8,"XXL",13,"XXXL",21,"")</f>
        <v/>
      </c>
      <c r="J75" s="6"/>
      <c r="K75" s="6"/>
      <c r="L75" s="6"/>
    </row>
    <row r="76" spans="1:12" x14ac:dyDescent="0.3">
      <c r="A76" s="6"/>
      <c r="B76" s="6"/>
      <c r="C76" s="6"/>
      <c r="D76" s="6"/>
      <c r="E76" s="6"/>
      <c r="F76" s="8"/>
      <c r="G76" s="6"/>
      <c r="H76" s="6"/>
      <c r="I76" s="6" t="str">
        <f t="array" ref="I76">_xlfn.SWITCH(H76,"XS",1,"S",2,"M",3,"L",5,"XL",8,"XXL",13,"XXXL",21,"")</f>
        <v/>
      </c>
      <c r="J76" s="6"/>
      <c r="K76" s="6"/>
      <c r="L76" s="6"/>
    </row>
    <row r="77" spans="1:12" x14ac:dyDescent="0.3">
      <c r="A77" s="6"/>
      <c r="B77" s="6"/>
      <c r="C77" s="6"/>
      <c r="D77" s="6"/>
      <c r="E77" s="6"/>
      <c r="F77" s="8"/>
      <c r="G77" s="6"/>
      <c r="H77" s="6"/>
      <c r="I77" s="6" t="str">
        <f t="array" ref="I77">_xlfn.SWITCH(H77,"XS",1,"S",2,"M",3,"L",5,"XL",8,"XXL",13,"XXXL",21,"")</f>
        <v/>
      </c>
      <c r="J77" s="6"/>
      <c r="K77" s="6"/>
      <c r="L77" s="6"/>
    </row>
    <row r="78" spans="1:12" x14ac:dyDescent="0.3">
      <c r="A78" s="6"/>
      <c r="B78" s="6"/>
      <c r="C78" s="6"/>
      <c r="D78" s="6"/>
      <c r="E78" s="6"/>
      <c r="F78" s="8"/>
      <c r="G78" s="6"/>
      <c r="H78" s="6"/>
      <c r="I78" s="6" t="str">
        <f t="array" ref="I78">_xlfn.SWITCH(H78,"XS",1,"S",2,"M",3,"L",5,"XL",8,"XXL",13,"XXXL",21,"")</f>
        <v/>
      </c>
      <c r="J78" s="6"/>
      <c r="K78" s="6"/>
      <c r="L78" s="6"/>
    </row>
    <row r="79" spans="1:12" x14ac:dyDescent="0.3">
      <c r="A79" s="6"/>
      <c r="B79" s="6"/>
      <c r="C79" s="6"/>
      <c r="D79" s="6"/>
      <c r="E79" s="6"/>
      <c r="F79" s="8"/>
      <c r="G79" s="6"/>
      <c r="H79" s="6"/>
      <c r="I79" s="6" t="str">
        <f t="array" ref="I79">_xlfn.SWITCH(H79,"XS",1,"S",2,"M",3,"L",5,"XL",8,"XXL",13,"XXXL",21,"")</f>
        <v/>
      </c>
      <c r="J79" s="6"/>
      <c r="K79" s="6"/>
      <c r="L79" s="6"/>
    </row>
    <row r="80" spans="1:12" x14ac:dyDescent="0.3">
      <c r="A80" s="6"/>
      <c r="B80" s="6"/>
      <c r="C80" s="6"/>
      <c r="D80" s="6"/>
      <c r="E80" s="6"/>
      <c r="F80" s="8"/>
      <c r="G80" s="6"/>
      <c r="H80" s="6"/>
      <c r="I80" s="6" t="str">
        <f t="array" ref="I80">_xlfn.SWITCH(H80,"XS",1,"S",2,"M",3,"L",5,"XL",8,"XXL",13,"XXXL",21,"")</f>
        <v/>
      </c>
      <c r="J80" s="6"/>
      <c r="K80" s="6"/>
      <c r="L80" s="6"/>
    </row>
    <row r="81" spans="1:12" x14ac:dyDescent="0.3">
      <c r="A81" s="6"/>
      <c r="B81" s="6"/>
      <c r="C81" s="6"/>
      <c r="D81" s="6"/>
      <c r="E81" s="6"/>
      <c r="F81" s="8"/>
      <c r="G81" s="6"/>
      <c r="H81" s="6"/>
      <c r="I81" s="6" t="str">
        <f t="array" ref="I81">_xlfn.SWITCH(H81,"XS",1,"S",2,"M",3,"L",5,"XL",8,"XXL",13,"XXXL",21,"")</f>
        <v/>
      </c>
      <c r="J81" s="6"/>
      <c r="K81" s="6"/>
      <c r="L81" s="6"/>
    </row>
    <row r="82" spans="1:12" x14ac:dyDescent="0.3">
      <c r="A82" s="6"/>
      <c r="B82" s="6"/>
      <c r="C82" s="6"/>
      <c r="D82" s="6"/>
      <c r="E82" s="6"/>
      <c r="F82" s="8"/>
      <c r="G82" s="6"/>
      <c r="H82" s="6"/>
      <c r="I82" s="6" t="str">
        <f t="array" ref="I82">_xlfn.SWITCH(H82,"XS",1,"S",2,"M",3,"L",5,"XL",8,"XXL",13,"XXXL",21,"")</f>
        <v/>
      </c>
      <c r="J82" s="6"/>
      <c r="K82" s="6"/>
      <c r="L82" s="6"/>
    </row>
    <row r="83" spans="1:12" x14ac:dyDescent="0.3">
      <c r="A83" s="6"/>
      <c r="B83" s="6"/>
      <c r="C83" s="6"/>
      <c r="D83" s="6"/>
      <c r="E83" s="6"/>
      <c r="F83" s="8"/>
      <c r="G83" s="6"/>
      <c r="H83" s="6"/>
      <c r="I83" s="6" t="str">
        <f t="array" ref="I83">_xlfn.SWITCH(H83,"XS",1,"S",2,"M",3,"L",5,"XL",8,"XXL",13,"XXXL",21,"")</f>
        <v/>
      </c>
      <c r="J83" s="6"/>
      <c r="K83" s="6"/>
      <c r="L83" s="6"/>
    </row>
    <row r="84" spans="1:12" x14ac:dyDescent="0.3">
      <c r="A84" s="6"/>
      <c r="B84" s="6"/>
      <c r="C84" s="6"/>
      <c r="D84" s="6"/>
      <c r="E84" s="6"/>
      <c r="F84" s="8"/>
      <c r="G84" s="6"/>
      <c r="H84" s="6"/>
      <c r="I84" s="6" t="str">
        <f t="array" ref="I84">_xlfn.SWITCH(H84,"XS",1,"S",2,"M",3,"L",5,"XL",8,"XXL",13,"XXXL",21,"")</f>
        <v/>
      </c>
      <c r="J84" s="6"/>
      <c r="K84" s="6"/>
      <c r="L84" s="6"/>
    </row>
    <row r="85" spans="1:12" x14ac:dyDescent="0.3">
      <c r="A85" s="6"/>
      <c r="B85" s="6"/>
      <c r="C85" s="6"/>
      <c r="D85" s="6"/>
      <c r="E85" s="6"/>
      <c r="F85" s="8"/>
      <c r="G85" s="6"/>
      <c r="H85" s="6"/>
      <c r="I85" s="6" t="str">
        <f t="array" ref="I85">_xlfn.SWITCH(H85,"XS",1,"S",2,"M",3,"L",5,"XL",8,"XXL",13,"XXXL",21,"")</f>
        <v/>
      </c>
      <c r="J85" s="6"/>
      <c r="K85" s="6"/>
      <c r="L85" s="6"/>
    </row>
    <row r="86" spans="1:12" x14ac:dyDescent="0.3">
      <c r="A86" s="6"/>
      <c r="B86" s="6"/>
      <c r="C86" s="6"/>
      <c r="D86" s="6"/>
      <c r="E86" s="6"/>
      <c r="F86" s="8"/>
      <c r="G86" s="6"/>
      <c r="H86" s="6"/>
      <c r="I86" s="6" t="str">
        <f t="array" ref="I86">_xlfn.SWITCH(H86,"XS",1,"S",2,"M",3,"L",5,"XL",8,"XXL",13,"XXXL",21,"")</f>
        <v/>
      </c>
      <c r="J86" s="6"/>
      <c r="K86" s="6"/>
      <c r="L86" s="6"/>
    </row>
    <row r="87" spans="1:12" x14ac:dyDescent="0.3">
      <c r="A87" s="6"/>
      <c r="B87" s="6"/>
      <c r="C87" s="6"/>
      <c r="D87" s="6"/>
      <c r="E87" s="6"/>
      <c r="F87" s="8"/>
      <c r="G87" s="6"/>
      <c r="H87" s="6"/>
      <c r="I87" s="6" t="str">
        <f t="array" ref="I87">_xlfn.SWITCH(H87,"XS",1,"S",2,"M",3,"L",5,"XL",8,"XXL",13,"XXXL",21,"")</f>
        <v/>
      </c>
      <c r="J87" s="6"/>
      <c r="K87" s="6"/>
      <c r="L87" s="6"/>
    </row>
    <row r="88" spans="1:12" x14ac:dyDescent="0.3">
      <c r="A88" s="6"/>
      <c r="B88" s="6"/>
      <c r="C88" s="6"/>
      <c r="D88" s="6"/>
      <c r="E88" s="6"/>
      <c r="F88" s="8"/>
      <c r="G88" s="6"/>
      <c r="H88" s="6"/>
      <c r="I88" s="6" t="str">
        <f t="array" ref="I88">_xlfn.SWITCH(H88,"XS",1,"S",2,"M",3,"L",5,"XL",8,"XXL",13,"XXXL",21,"")</f>
        <v/>
      </c>
      <c r="J88" s="6"/>
      <c r="K88" s="6"/>
      <c r="L88" s="6"/>
    </row>
    <row r="89" spans="1:12" x14ac:dyDescent="0.3">
      <c r="A89" s="6"/>
      <c r="B89" s="6"/>
      <c r="C89" s="6"/>
      <c r="D89" s="6"/>
      <c r="E89" s="6"/>
      <c r="F89" s="8"/>
      <c r="G89" s="6"/>
      <c r="H89" s="6"/>
      <c r="I89" s="6" t="str">
        <f t="array" ref="I89">_xlfn.SWITCH(H89,"XS",1,"S",2,"M",3,"L",5,"XL",8,"XXL",13,"XXXL",21,"")</f>
        <v/>
      </c>
      <c r="J89" s="6"/>
      <c r="K89" s="6"/>
      <c r="L89" s="6"/>
    </row>
    <row r="90" spans="1:12" x14ac:dyDescent="0.3">
      <c r="A90" s="6"/>
      <c r="B90" s="6"/>
      <c r="C90" s="6"/>
      <c r="D90" s="6"/>
      <c r="E90" s="6"/>
      <c r="F90" s="8"/>
      <c r="G90" s="6"/>
      <c r="H90" s="6"/>
      <c r="I90" s="6" t="str">
        <f t="array" ref="I90">_xlfn.SWITCH(H90,"XS",1,"S",2,"M",3,"L",5,"XL",8,"XXL",13,"XXXL",21,"")</f>
        <v/>
      </c>
      <c r="J90" s="6"/>
      <c r="K90" s="6"/>
      <c r="L90" s="6"/>
    </row>
    <row r="91" spans="1:12" x14ac:dyDescent="0.3">
      <c r="A91" s="6"/>
      <c r="B91" s="6"/>
      <c r="C91" s="6"/>
      <c r="D91" s="6"/>
      <c r="E91" s="6"/>
      <c r="F91" s="8"/>
      <c r="G91" s="6"/>
      <c r="H91" s="6"/>
      <c r="I91" s="6" t="str">
        <f t="array" ref="I91">_xlfn.SWITCH(H91,"XS",1,"S",2,"M",3,"L",5,"XL",8,"XXL",13,"XXXL",21,"")</f>
        <v/>
      </c>
      <c r="J91" s="6"/>
      <c r="K91" s="6"/>
      <c r="L91" s="6"/>
    </row>
    <row r="92" spans="1:12" x14ac:dyDescent="0.3">
      <c r="A92" s="6"/>
      <c r="B92" s="6"/>
      <c r="C92" s="6"/>
      <c r="D92" s="6"/>
      <c r="E92" s="6"/>
      <c r="F92" s="8"/>
      <c r="G92" s="6"/>
      <c r="H92" s="6"/>
      <c r="I92" s="6" t="str">
        <f t="array" ref="I92">_xlfn.SWITCH(H92,"XS",1,"S",2,"M",3,"L",5,"XL",8,"XXL",13,"XXXL",21,"")</f>
        <v/>
      </c>
      <c r="J92" s="6"/>
      <c r="K92" s="6"/>
      <c r="L92" s="6"/>
    </row>
    <row r="93" spans="1:12" x14ac:dyDescent="0.3">
      <c r="A93" s="6"/>
      <c r="B93" s="6"/>
      <c r="C93" s="6"/>
      <c r="D93" s="6"/>
      <c r="E93" s="6"/>
      <c r="F93" s="8"/>
      <c r="G93" s="6"/>
      <c r="H93" s="6"/>
      <c r="I93" s="6" t="str">
        <f t="array" ref="I93">_xlfn.SWITCH(H93,"XS",1,"S",2,"M",3,"L",5,"XL",8,"XXL",13,"XXXL",21,"")</f>
        <v/>
      </c>
      <c r="J93" s="6"/>
      <c r="K93" s="6"/>
      <c r="L93" s="6"/>
    </row>
    <row r="94" spans="1:12" x14ac:dyDescent="0.3">
      <c r="A94" s="6"/>
      <c r="B94" s="6"/>
      <c r="C94" s="6"/>
      <c r="D94" s="6"/>
      <c r="E94" s="6"/>
      <c r="F94" s="8"/>
      <c r="G94" s="6"/>
      <c r="H94" s="6"/>
      <c r="I94" s="6" t="str">
        <f t="array" ref="I94">_xlfn.SWITCH(H94,"XS",1,"S",2,"M",3,"L",5,"XL",8,"XXL",13,"XXXL",21,"")</f>
        <v/>
      </c>
      <c r="J94" s="6"/>
      <c r="K94" s="6"/>
      <c r="L94" s="6"/>
    </row>
    <row r="95" spans="1:12" x14ac:dyDescent="0.3">
      <c r="A95" s="6"/>
      <c r="B95" s="6"/>
      <c r="C95" s="6"/>
      <c r="D95" s="6"/>
      <c r="E95" s="6"/>
      <c r="F95" s="8"/>
      <c r="G95" s="6"/>
      <c r="H95" s="6"/>
      <c r="I95" s="6" t="str">
        <f t="array" ref="I95">_xlfn.SWITCH(H95,"XS",1,"S",2,"M",3,"L",5,"XL",8,"XXL",13,"XXXL",21,"")</f>
        <v/>
      </c>
      <c r="J95" s="6"/>
      <c r="K95" s="6"/>
      <c r="L95" s="6"/>
    </row>
    <row r="96" spans="1:12" x14ac:dyDescent="0.3">
      <c r="A96" s="6"/>
      <c r="B96" s="6"/>
      <c r="C96" s="6"/>
      <c r="D96" s="6"/>
      <c r="E96" s="6"/>
      <c r="F96" s="8"/>
      <c r="G96" s="6"/>
      <c r="H96" s="6"/>
      <c r="I96" s="6" t="str">
        <f t="array" ref="I96">_xlfn.SWITCH(H96,"XS",1,"S",2,"M",3,"L",5,"XL",8,"XXL",13,"XXXL",21,"")</f>
        <v/>
      </c>
      <c r="J96" s="6"/>
      <c r="K96" s="6"/>
      <c r="L96" s="6"/>
    </row>
    <row r="97" spans="1:12" x14ac:dyDescent="0.3">
      <c r="A97" s="6"/>
      <c r="B97" s="6"/>
      <c r="C97" s="6"/>
      <c r="D97" s="6"/>
      <c r="E97" s="6"/>
      <c r="F97" s="8"/>
      <c r="G97" s="6"/>
      <c r="H97" s="6"/>
      <c r="I97" s="6" t="str">
        <f t="array" ref="I97">_xlfn.SWITCH(H97,"XS",1,"S",2,"M",3,"L",5,"XL",8,"XXL",13,"XXXL",21,"")</f>
        <v/>
      </c>
      <c r="J97" s="6"/>
      <c r="K97" s="6"/>
      <c r="L97" s="6"/>
    </row>
    <row r="98" spans="1:12" x14ac:dyDescent="0.3">
      <c r="A98" s="6"/>
      <c r="B98" s="6"/>
      <c r="C98" s="6"/>
      <c r="D98" s="6"/>
      <c r="E98" s="6"/>
      <c r="F98" s="8"/>
      <c r="G98" s="6"/>
      <c r="H98" s="6"/>
      <c r="I98" s="6" t="str">
        <f t="array" ref="I98">_xlfn.SWITCH(H98,"XS",1,"S",2,"M",3,"L",5,"XL",8,"XXL",13,"XXXL",21,"")</f>
        <v/>
      </c>
      <c r="J98" s="6"/>
      <c r="K98" s="6"/>
      <c r="L98" s="6"/>
    </row>
    <row r="99" spans="1:12" x14ac:dyDescent="0.3">
      <c r="A99" s="6"/>
      <c r="B99" s="6"/>
      <c r="C99" s="6"/>
      <c r="D99" s="6"/>
      <c r="E99" s="6"/>
      <c r="F99" s="8"/>
      <c r="G99" s="6"/>
      <c r="H99" s="6"/>
      <c r="I99" s="6" t="str">
        <f t="array" ref="I99">_xlfn.SWITCH(H99,"XS",1,"S",2,"M",3,"L",5,"XL",8,"XXL",13,"XXXL",21,"")</f>
        <v/>
      </c>
      <c r="J99" s="6"/>
      <c r="K99" s="6"/>
      <c r="L99" s="6"/>
    </row>
    <row r="100" spans="1:12" x14ac:dyDescent="0.3">
      <c r="A100" s="6"/>
      <c r="B100" s="6"/>
      <c r="C100" s="6"/>
      <c r="D100" s="6"/>
      <c r="E100" s="6"/>
      <c r="F100" s="8"/>
      <c r="G100" s="6"/>
      <c r="H100" s="6"/>
      <c r="I100" s="6" t="str">
        <f t="array" ref="I100">_xlfn.SWITCH(H100,"XS",1,"S",2,"M",3,"L",5,"XL",8,"XXL",13,"XXXL",21,"")</f>
        <v/>
      </c>
      <c r="J100" s="6"/>
      <c r="K100" s="6"/>
      <c r="L100" s="6"/>
    </row>
    <row r="101" spans="1:12" x14ac:dyDescent="0.3">
      <c r="A101" s="6"/>
      <c r="B101" s="6"/>
      <c r="C101" s="6"/>
      <c r="D101" s="6"/>
      <c r="E101" s="6"/>
      <c r="F101" s="8"/>
      <c r="G101" s="6"/>
      <c r="H101" s="6"/>
      <c r="I101" s="6" t="str">
        <f t="array" ref="I101">_xlfn.SWITCH(H101,"XS",1,"S",2,"M",3,"L",5,"XL",8,"XXL",13,"XXXL",21,"")</f>
        <v/>
      </c>
      <c r="J101" s="6"/>
      <c r="K101" s="6"/>
      <c r="L101" s="6"/>
    </row>
    <row r="102" spans="1:12" x14ac:dyDescent="0.3">
      <c r="A102" s="6"/>
      <c r="B102" s="6"/>
      <c r="C102" s="6"/>
      <c r="D102" s="6"/>
      <c r="E102" s="6"/>
      <c r="F102" s="8"/>
      <c r="G102" s="6"/>
      <c r="H102" s="6"/>
      <c r="I102" s="6" t="str">
        <f t="array" ref="I102">_xlfn.SWITCH(H102,"XS",1,"S",2,"M",3,"L",5,"XL",8,"XXL",13,"XXXL",21,"")</f>
        <v/>
      </c>
      <c r="J102" s="6"/>
      <c r="K102" s="6"/>
      <c r="L102" s="6"/>
    </row>
    <row r="103" spans="1:12" x14ac:dyDescent="0.3">
      <c r="A103" s="6"/>
      <c r="B103" s="6"/>
      <c r="C103" s="6"/>
      <c r="D103" s="6"/>
      <c r="E103" s="6"/>
      <c r="F103" s="8"/>
      <c r="G103" s="6"/>
      <c r="H103" s="6"/>
      <c r="I103" s="6" t="str">
        <f t="array" ref="I103">_xlfn.SWITCH(H103,"XS",1,"S",2,"M",3,"L",5,"XL",8,"XXL",13,"XXXL",21,"")</f>
        <v/>
      </c>
      <c r="J103" s="6"/>
      <c r="K103" s="6"/>
      <c r="L103" s="6"/>
    </row>
  </sheetData>
  <autoFilter ref="J1:J103" xr:uid="{AA30D3B6-4BBC-427B-918A-C301767B692F}"/>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8F6E0-6E10-4552-9483-4F3EB0450BB5}">
  <dimension ref="A1:L14"/>
  <sheetViews>
    <sheetView workbookViewId="0">
      <selection activeCell="E16" sqref="E16"/>
    </sheetView>
  </sheetViews>
  <sheetFormatPr defaultRowHeight="14.4" x14ac:dyDescent="0.3"/>
  <cols>
    <col min="1" max="1" width="4.88671875" style="1" bestFit="1" customWidth="1"/>
    <col min="2" max="2" width="10.88671875" style="1" bestFit="1" customWidth="1"/>
    <col min="3" max="3" width="9.77734375" style="3" customWidth="1"/>
    <col min="4" max="4" width="10.77734375" style="1" customWidth="1"/>
    <col min="5" max="5" width="8.88671875" style="1"/>
  </cols>
  <sheetData>
    <row r="1" spans="1:12" ht="57.6" x14ac:dyDescent="0.3">
      <c r="A1" s="21" t="s">
        <v>12</v>
      </c>
      <c r="B1" s="21" t="s">
        <v>62</v>
      </c>
      <c r="C1" s="22" t="s">
        <v>13</v>
      </c>
      <c r="D1" s="22" t="s">
        <v>14</v>
      </c>
      <c r="E1" s="22" t="s">
        <v>15</v>
      </c>
    </row>
    <row r="2" spans="1:12" x14ac:dyDescent="0.3">
      <c r="A2" s="17">
        <v>0</v>
      </c>
      <c r="B2" s="18">
        <v>46272</v>
      </c>
      <c r="C2" s="19">
        <f>52-SUM(E$2:E2)</f>
        <v>52</v>
      </c>
      <c r="D2" s="20">
        <f>52*(1-(A2/12))</f>
        <v>52</v>
      </c>
      <c r="E2" s="20">
        <v>0</v>
      </c>
    </row>
    <row r="3" spans="1:12" x14ac:dyDescent="0.3">
      <c r="A3" s="17">
        <v>1</v>
      </c>
      <c r="B3" s="18">
        <v>46273</v>
      </c>
      <c r="C3" s="19">
        <f>52-SUM(E$2:E3)</f>
        <v>52</v>
      </c>
      <c r="D3" s="20">
        <f t="shared" ref="D3:D14" si="0">52*(1-(A3/12))</f>
        <v>47.666666666666664</v>
      </c>
      <c r="E3" s="20">
        <v>0</v>
      </c>
    </row>
    <row r="4" spans="1:12" x14ac:dyDescent="0.3">
      <c r="A4" s="17">
        <v>2</v>
      </c>
      <c r="B4" s="18">
        <v>46274</v>
      </c>
      <c r="C4" s="19">
        <f>52-SUM(E$2:E4)</f>
        <v>52</v>
      </c>
      <c r="D4" s="20">
        <f t="shared" si="0"/>
        <v>43.333333333333336</v>
      </c>
      <c r="E4" s="20">
        <v>0</v>
      </c>
      <c r="L4" s="2"/>
    </row>
    <row r="5" spans="1:12" x14ac:dyDescent="0.3">
      <c r="A5" s="17">
        <v>3</v>
      </c>
      <c r="B5" s="18">
        <v>46275</v>
      </c>
      <c r="C5" s="19">
        <f>52-SUM(E$2:E5)</f>
        <v>39</v>
      </c>
      <c r="D5" s="20">
        <f t="shared" si="0"/>
        <v>39</v>
      </c>
      <c r="E5" s="20">
        <v>13</v>
      </c>
    </row>
    <row r="6" spans="1:12" x14ac:dyDescent="0.3">
      <c r="A6" s="17">
        <v>4</v>
      </c>
      <c r="B6" s="18">
        <v>46276</v>
      </c>
      <c r="C6" s="19">
        <f>52-SUM(E$2:E6)</f>
        <v>26</v>
      </c>
      <c r="D6" s="20">
        <f t="shared" si="0"/>
        <v>34.666666666666671</v>
      </c>
      <c r="E6" s="20">
        <v>13</v>
      </c>
    </row>
    <row r="7" spans="1:12" x14ac:dyDescent="0.3">
      <c r="A7" s="17">
        <v>5</v>
      </c>
      <c r="B7" s="18">
        <v>46279</v>
      </c>
      <c r="C7" s="19">
        <f>52-SUM(E$2:E7)</f>
        <v>26</v>
      </c>
      <c r="D7" s="20">
        <f t="shared" si="0"/>
        <v>30.333333333333329</v>
      </c>
      <c r="E7" s="20">
        <v>0</v>
      </c>
    </row>
    <row r="8" spans="1:12" x14ac:dyDescent="0.3">
      <c r="A8" s="17">
        <v>6</v>
      </c>
      <c r="B8" s="18">
        <v>46280</v>
      </c>
      <c r="C8" s="19">
        <f>52-SUM(E$2:E8)</f>
        <v>26</v>
      </c>
      <c r="D8" s="20">
        <f t="shared" si="0"/>
        <v>26</v>
      </c>
      <c r="E8" s="20">
        <v>0</v>
      </c>
    </row>
    <row r="9" spans="1:12" x14ac:dyDescent="0.3">
      <c r="A9" s="17">
        <v>7</v>
      </c>
      <c r="B9" s="18">
        <v>46281</v>
      </c>
      <c r="C9" s="19">
        <f>52-SUM(E$2:E9)</f>
        <v>26</v>
      </c>
      <c r="D9" s="20">
        <f t="shared" si="0"/>
        <v>21.666666666666664</v>
      </c>
      <c r="E9" s="20">
        <v>0</v>
      </c>
    </row>
    <row r="10" spans="1:12" x14ac:dyDescent="0.3">
      <c r="A10" s="17">
        <v>8</v>
      </c>
      <c r="B10" s="18">
        <v>46282</v>
      </c>
      <c r="C10" s="19">
        <f>52-SUM(E$2:E10)</f>
        <v>21</v>
      </c>
      <c r="D10" s="20">
        <f t="shared" si="0"/>
        <v>17.333333333333336</v>
      </c>
      <c r="E10" s="20">
        <v>5</v>
      </c>
    </row>
    <row r="11" spans="1:12" x14ac:dyDescent="0.3">
      <c r="A11" s="17">
        <v>9</v>
      </c>
      <c r="B11" s="18">
        <v>46283</v>
      </c>
      <c r="C11" s="19">
        <f>52-SUM(E$2:E11)</f>
        <v>16</v>
      </c>
      <c r="D11" s="20">
        <f t="shared" si="0"/>
        <v>13</v>
      </c>
      <c r="E11" s="20">
        <v>5</v>
      </c>
    </row>
    <row r="12" spans="1:12" x14ac:dyDescent="0.3">
      <c r="A12" s="17">
        <v>10</v>
      </c>
      <c r="B12" s="18">
        <v>46286</v>
      </c>
      <c r="C12" s="19">
        <f>52-SUM(E$2:E12)</f>
        <v>8</v>
      </c>
      <c r="D12" s="20">
        <f t="shared" si="0"/>
        <v>8.6666666666666643</v>
      </c>
      <c r="E12" s="20">
        <v>8</v>
      </c>
    </row>
    <row r="13" spans="1:12" x14ac:dyDescent="0.3">
      <c r="A13" s="17">
        <v>11</v>
      </c>
      <c r="B13" s="18">
        <v>46287</v>
      </c>
      <c r="C13" s="19">
        <f>52-SUM(E$2:E13)</f>
        <v>8</v>
      </c>
      <c r="D13" s="20">
        <f t="shared" si="0"/>
        <v>4.3333333333333357</v>
      </c>
      <c r="E13" s="20">
        <v>0</v>
      </c>
    </row>
    <row r="14" spans="1:12" x14ac:dyDescent="0.3">
      <c r="A14" s="17">
        <v>12</v>
      </c>
      <c r="B14" s="18">
        <v>46288</v>
      </c>
      <c r="C14" s="19">
        <f>52-SUM(E$2:E14)</f>
        <v>0</v>
      </c>
      <c r="D14" s="20">
        <f t="shared" si="0"/>
        <v>0</v>
      </c>
      <c r="E14" s="20">
        <v>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D023-91C8-44AF-AB04-2727DDB868DE}">
  <dimension ref="A1:M15"/>
  <sheetViews>
    <sheetView tabSelected="1" topLeftCell="A7" zoomScale="76" zoomScaleNormal="76" workbookViewId="0">
      <selection activeCell="C2" sqref="C2"/>
    </sheetView>
  </sheetViews>
  <sheetFormatPr defaultRowHeight="14.4" x14ac:dyDescent="0.3"/>
  <cols>
    <col min="1" max="1" width="6.88671875" bestFit="1" customWidth="1"/>
    <col min="2" max="2" width="11" customWidth="1"/>
    <col min="3" max="3" width="8.33203125" bestFit="1" customWidth="1"/>
    <col min="4" max="4" width="7.33203125" bestFit="1" customWidth="1"/>
    <col min="5" max="5" width="7.88671875" bestFit="1" customWidth="1"/>
    <col min="6" max="6" width="82.88671875" customWidth="1"/>
    <col min="7" max="7" width="8" bestFit="1" customWidth="1"/>
    <col min="8" max="8" width="7.109375" style="1" bestFit="1" customWidth="1"/>
    <col min="9" max="9" width="6" style="1" bestFit="1" customWidth="1"/>
    <col min="10" max="10" width="6.77734375" bestFit="1" customWidth="1"/>
    <col min="11" max="11" width="8" bestFit="1" customWidth="1"/>
    <col min="12" max="12" width="5.77734375" bestFit="1" customWidth="1"/>
  </cols>
  <sheetData>
    <row r="1" spans="1:13" ht="46.8" x14ac:dyDescent="0.3">
      <c r="A1" s="4" t="s">
        <v>11</v>
      </c>
      <c r="B1" s="4" t="s">
        <v>0</v>
      </c>
      <c r="C1" s="4" t="s">
        <v>1</v>
      </c>
      <c r="D1" s="4" t="s">
        <v>2</v>
      </c>
      <c r="E1" s="4" t="s">
        <v>10</v>
      </c>
      <c r="F1" s="4" t="s">
        <v>3</v>
      </c>
      <c r="G1" s="4" t="s">
        <v>4</v>
      </c>
      <c r="H1" s="4" t="s">
        <v>8</v>
      </c>
      <c r="I1" s="4" t="s">
        <v>9</v>
      </c>
      <c r="J1" s="4" t="s">
        <v>5</v>
      </c>
      <c r="K1" s="4" t="s">
        <v>6</v>
      </c>
      <c r="L1" s="4" t="s">
        <v>7</v>
      </c>
    </row>
    <row r="2" spans="1:13" ht="244.8" x14ac:dyDescent="0.3">
      <c r="A2" s="12">
        <v>5</v>
      </c>
      <c r="B2" s="12" t="s">
        <v>94</v>
      </c>
      <c r="C2" s="12"/>
      <c r="D2" s="12"/>
      <c r="E2" s="12" t="s">
        <v>31</v>
      </c>
      <c r="F2" s="13" t="s">
        <v>132</v>
      </c>
      <c r="G2" s="12" t="s">
        <v>24</v>
      </c>
      <c r="H2" s="12" t="s">
        <v>23</v>
      </c>
      <c r="I2" s="12" cm="1">
        <f t="array" ref="I2">_xlfn.SWITCH(H2,"XS",1,"S",2,"M",3,"L",5,"XL",8,"XXL",13,"XXXL",21,"")</f>
        <v>2</v>
      </c>
      <c r="J2" s="12" t="s">
        <v>76</v>
      </c>
      <c r="K2" s="12"/>
      <c r="L2" s="12"/>
    </row>
    <row r="3" spans="1:13" ht="316.8" x14ac:dyDescent="0.3">
      <c r="A3" s="12">
        <v>6</v>
      </c>
      <c r="B3" s="12" t="s">
        <v>94</v>
      </c>
      <c r="C3" s="12"/>
      <c r="D3" s="12"/>
      <c r="E3" s="12" t="s">
        <v>22</v>
      </c>
      <c r="F3" s="13" t="s">
        <v>133</v>
      </c>
      <c r="G3" s="12" t="s">
        <v>24</v>
      </c>
      <c r="H3" s="12" t="s">
        <v>23</v>
      </c>
      <c r="I3" s="12" cm="1">
        <f t="array" ref="I3">_xlfn.SWITCH(H3,"XS",1,"S",2,"M",3,"L",5,"XL",8,"XXL",13,"XXXL",21,"")</f>
        <v>2</v>
      </c>
      <c r="J3" s="12" t="s">
        <v>76</v>
      </c>
      <c r="K3" s="12"/>
      <c r="L3" s="12"/>
    </row>
    <row r="4" spans="1:13" ht="244.8" x14ac:dyDescent="0.3">
      <c r="A4" s="12">
        <v>7</v>
      </c>
      <c r="B4" s="12" t="s">
        <v>94</v>
      </c>
      <c r="C4" s="12"/>
      <c r="D4" s="12"/>
      <c r="E4" s="12" t="s">
        <v>31</v>
      </c>
      <c r="F4" s="13" t="s">
        <v>134</v>
      </c>
      <c r="G4" s="12" t="s">
        <v>24</v>
      </c>
      <c r="H4" s="12" t="s">
        <v>23</v>
      </c>
      <c r="I4" s="12" cm="1">
        <f t="array" ref="I4">_xlfn.SWITCH(H4,"XS",1,"S",2,"M",3,"L",5,"XL",8,"XXL",13,"XXXL",21,"")</f>
        <v>2</v>
      </c>
      <c r="J4" s="12" t="s">
        <v>76</v>
      </c>
      <c r="K4" s="12"/>
      <c r="L4" s="12"/>
    </row>
    <row r="5" spans="1:13" ht="216" x14ac:dyDescent="0.3">
      <c r="A5" s="12">
        <v>8</v>
      </c>
      <c r="B5" s="12" t="s">
        <v>94</v>
      </c>
      <c r="C5" s="12"/>
      <c r="D5" s="12"/>
      <c r="E5" s="12" t="s">
        <v>22</v>
      </c>
      <c r="F5" s="13" t="s">
        <v>135</v>
      </c>
      <c r="G5" s="12" t="s">
        <v>24</v>
      </c>
      <c r="H5" s="12" t="s">
        <v>27</v>
      </c>
      <c r="I5" s="12" cm="1">
        <f t="array" ref="I5">_xlfn.SWITCH(H5,"XS",1,"S",2,"M",3,"L",5,"XL",8,"XXL",13,"XXXL",21,"")</f>
        <v>3</v>
      </c>
      <c r="J5" s="12" t="s">
        <v>76</v>
      </c>
      <c r="K5" s="12"/>
      <c r="L5" s="12"/>
    </row>
    <row r="6" spans="1:13" ht="201" customHeight="1" x14ac:dyDescent="0.3">
      <c r="A6" s="28">
        <v>9</v>
      </c>
      <c r="B6" s="28" t="s">
        <v>169</v>
      </c>
      <c r="C6" s="29"/>
      <c r="D6" s="30" t="s">
        <v>170</v>
      </c>
      <c r="E6" s="28" t="s">
        <v>31</v>
      </c>
      <c r="F6" s="31" t="s">
        <v>161</v>
      </c>
      <c r="G6" s="28" t="s">
        <v>29</v>
      </c>
      <c r="H6" s="29" t="s">
        <v>27</v>
      </c>
      <c r="I6" s="29" cm="1">
        <f t="array" ref="I6">_xlfn.SWITCH(H6,"XS",1,"S",2,"M",3,"L",5,"XL",8,"XXL",13,"XXXL",21,"")</f>
        <v>3</v>
      </c>
      <c r="J6" s="28" t="s">
        <v>76</v>
      </c>
      <c r="K6" s="30"/>
      <c r="L6" s="30"/>
      <c r="M6" s="25"/>
    </row>
    <row r="7" spans="1:13" ht="201" customHeight="1" x14ac:dyDescent="0.3">
      <c r="A7" s="28">
        <v>10</v>
      </c>
      <c r="B7" s="28" t="s">
        <v>169</v>
      </c>
      <c r="C7" s="29"/>
      <c r="D7" s="30" t="s">
        <v>170</v>
      </c>
      <c r="E7" s="28" t="s">
        <v>31</v>
      </c>
      <c r="F7" s="31" t="s">
        <v>162</v>
      </c>
      <c r="G7" s="28" t="s">
        <v>29</v>
      </c>
      <c r="H7" s="29" t="s">
        <v>27</v>
      </c>
      <c r="I7" s="29" cm="1">
        <f t="array" ref="I7">_xlfn.SWITCH(H7,"XS",1,"S",2,"M",3,"L",5,"XL",8,"XXL",13,"XXXL",21,"")</f>
        <v>3</v>
      </c>
      <c r="J7" s="28" t="s">
        <v>76</v>
      </c>
      <c r="K7" s="30"/>
      <c r="L7" s="30"/>
    </row>
    <row r="8" spans="1:13" ht="201" customHeight="1" x14ac:dyDescent="0.3">
      <c r="A8" s="28">
        <v>11</v>
      </c>
      <c r="B8" s="28" t="s">
        <v>169</v>
      </c>
      <c r="C8" s="29"/>
      <c r="D8" s="30" t="s">
        <v>170</v>
      </c>
      <c r="E8" s="28" t="s">
        <v>20</v>
      </c>
      <c r="F8" s="31" t="s">
        <v>163</v>
      </c>
      <c r="G8" s="28" t="s">
        <v>29</v>
      </c>
      <c r="H8" s="29" t="s">
        <v>23</v>
      </c>
      <c r="I8" s="29" cm="1">
        <f t="array" ref="I8">_xlfn.SWITCH(H8,"XS",1,"S",2,"M",3,"L",5,"XL",8,"XXL",13,"XXXL",21,"")</f>
        <v>2</v>
      </c>
      <c r="J8" s="28" t="s">
        <v>75</v>
      </c>
      <c r="K8" s="30"/>
      <c r="L8" s="30"/>
    </row>
    <row r="9" spans="1:13" ht="201" customHeight="1" x14ac:dyDescent="0.3">
      <c r="A9" s="28">
        <v>12</v>
      </c>
      <c r="B9" s="28" t="s">
        <v>169</v>
      </c>
      <c r="C9" s="29"/>
      <c r="D9" s="30" t="s">
        <v>170</v>
      </c>
      <c r="E9" s="28" t="s">
        <v>20</v>
      </c>
      <c r="F9" s="31" t="s">
        <v>164</v>
      </c>
      <c r="G9" s="28" t="s">
        <v>29</v>
      </c>
      <c r="H9" s="29" t="s">
        <v>30</v>
      </c>
      <c r="I9" s="29" cm="1">
        <f t="array" ref="I9">_xlfn.SWITCH(H9,"XS",1,"S",2,"M",3,"L",5,"XL",8,"XXL",13,"XXXL",21,"")</f>
        <v>5</v>
      </c>
      <c r="J9" s="28" t="s">
        <v>75</v>
      </c>
      <c r="K9" s="30"/>
      <c r="L9" s="30"/>
    </row>
    <row r="10" spans="1:13" ht="201" customHeight="1" x14ac:dyDescent="0.3">
      <c r="A10" s="28">
        <v>13</v>
      </c>
      <c r="B10" s="28" t="s">
        <v>169</v>
      </c>
      <c r="C10" s="29"/>
      <c r="D10" s="30" t="s">
        <v>170</v>
      </c>
      <c r="E10" s="28" t="s">
        <v>20</v>
      </c>
      <c r="F10" s="31" t="s">
        <v>165</v>
      </c>
      <c r="G10" s="28" t="s">
        <v>29</v>
      </c>
      <c r="H10" s="29" t="s">
        <v>23</v>
      </c>
      <c r="I10" s="29" cm="1">
        <f t="array" ref="I10">_xlfn.SWITCH(H10,"XS",1,"S",2,"M",3,"L",5,"XL",8,"XXL",13,"XXXL",21,"")</f>
        <v>2</v>
      </c>
      <c r="J10" s="28" t="s">
        <v>76</v>
      </c>
      <c r="K10" s="30"/>
      <c r="L10" s="30"/>
    </row>
    <row r="11" spans="1:13" ht="201" customHeight="1" x14ac:dyDescent="0.3">
      <c r="A11" s="28">
        <v>14</v>
      </c>
      <c r="B11" s="28" t="s">
        <v>169</v>
      </c>
      <c r="C11" s="29"/>
      <c r="D11" s="30" t="s">
        <v>170</v>
      </c>
      <c r="E11" s="28" t="s">
        <v>20</v>
      </c>
      <c r="F11" s="31" t="s">
        <v>166</v>
      </c>
      <c r="G11" s="28" t="s">
        <v>29</v>
      </c>
      <c r="H11" s="29" t="s">
        <v>27</v>
      </c>
      <c r="I11" s="29" cm="1">
        <f t="array" ref="I11">_xlfn.SWITCH(H11,"XS",1,"S",2,"M",3,"L",5,"XL",8,"XXL",13,"XXXL",21,"")</f>
        <v>3</v>
      </c>
      <c r="J11" s="28" t="s">
        <v>76</v>
      </c>
      <c r="K11" s="30"/>
      <c r="L11" s="30"/>
    </row>
    <row r="12" spans="1:13" ht="201" customHeight="1" x14ac:dyDescent="0.3">
      <c r="A12" s="28">
        <v>15</v>
      </c>
      <c r="B12" s="28" t="s">
        <v>169</v>
      </c>
      <c r="C12" s="29"/>
      <c r="D12" s="30" t="s">
        <v>170</v>
      </c>
      <c r="E12" s="28" t="s">
        <v>20</v>
      </c>
      <c r="F12" s="31" t="s">
        <v>167</v>
      </c>
      <c r="G12" s="28" t="s">
        <v>29</v>
      </c>
      <c r="H12" s="29" t="s">
        <v>27</v>
      </c>
      <c r="I12" s="29" cm="1">
        <f t="array" ref="I12">_xlfn.SWITCH(H12,"XS",1,"S",2,"M",3,"L",5,"XL",8,"XXL",13,"XXXL",21,"")</f>
        <v>3</v>
      </c>
      <c r="J12" s="28" t="s">
        <v>76</v>
      </c>
      <c r="K12" s="30"/>
      <c r="L12" s="30"/>
    </row>
    <row r="13" spans="1:13" ht="201" customHeight="1" x14ac:dyDescent="0.3"/>
    <row r="14" spans="1:13" ht="201" customHeight="1" x14ac:dyDescent="0.3"/>
    <row r="15" spans="1:13" ht="201" customHeight="1"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D4A53-58DB-40BB-A13E-FB881A9A3A62}">
  <dimension ref="A1"/>
  <sheetViews>
    <sheetView workbookViewId="0">
      <selection activeCell="K28" sqref="K28"/>
    </sheetView>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8A1D8-5FD1-4598-938B-0A9A8F9AF879}">
  <dimension ref="A6:J14"/>
  <sheetViews>
    <sheetView topLeftCell="A7" workbookViewId="0">
      <selection activeCell="F13" sqref="F13"/>
    </sheetView>
  </sheetViews>
  <sheetFormatPr defaultRowHeight="14.4" x14ac:dyDescent="0.3"/>
  <cols>
    <col min="4" max="4" width="18.109375" bestFit="1" customWidth="1"/>
    <col min="5" max="5" width="17.77734375" customWidth="1"/>
    <col min="6" max="6" width="60.88671875" customWidth="1"/>
    <col min="7" max="7" width="14.5546875" customWidth="1"/>
    <col min="8" max="8" width="14.6640625" customWidth="1"/>
    <col min="9" max="9" width="11.33203125" customWidth="1"/>
  </cols>
  <sheetData>
    <row r="6" spans="1:10" ht="40.799999999999997" customHeight="1" x14ac:dyDescent="0.3">
      <c r="A6" s="23" t="s">
        <v>142</v>
      </c>
      <c r="B6" s="23" t="s">
        <v>0</v>
      </c>
      <c r="C6" s="23" t="s">
        <v>10</v>
      </c>
      <c r="D6" s="24" t="s">
        <v>140</v>
      </c>
      <c r="E6" s="23" t="s">
        <v>141</v>
      </c>
      <c r="F6" s="23" t="s">
        <v>3</v>
      </c>
      <c r="G6" s="23" t="s">
        <v>4</v>
      </c>
      <c r="H6" s="23" t="s">
        <v>8</v>
      </c>
      <c r="I6" s="23" t="s">
        <v>9</v>
      </c>
      <c r="J6" s="23" t="s">
        <v>5</v>
      </c>
    </row>
    <row r="7" spans="1:10" ht="300" customHeight="1" x14ac:dyDescent="0.3">
      <c r="A7" s="1">
        <v>1</v>
      </c>
      <c r="C7" s="25" t="s">
        <v>31</v>
      </c>
      <c r="D7" s="26" t="s">
        <v>143</v>
      </c>
      <c r="E7" s="26" t="s">
        <v>144</v>
      </c>
      <c r="F7" s="2" t="s">
        <v>145</v>
      </c>
      <c r="G7" s="3"/>
    </row>
    <row r="8" spans="1:10" ht="248.4" customHeight="1" x14ac:dyDescent="0.3">
      <c r="A8" s="1">
        <v>2</v>
      </c>
      <c r="C8" s="1" t="s">
        <v>31</v>
      </c>
      <c r="D8" s="1" t="s">
        <v>146</v>
      </c>
      <c r="E8" s="27" t="s">
        <v>147</v>
      </c>
      <c r="F8" s="2" t="s">
        <v>148</v>
      </c>
    </row>
    <row r="9" spans="1:10" ht="216" customHeight="1" x14ac:dyDescent="0.3">
      <c r="A9" s="1">
        <v>3</v>
      </c>
      <c r="C9" s="1" t="s">
        <v>20</v>
      </c>
      <c r="D9" s="1" t="s">
        <v>149</v>
      </c>
      <c r="E9" s="27" t="s">
        <v>150</v>
      </c>
      <c r="F9" s="2" t="s">
        <v>151</v>
      </c>
    </row>
    <row r="10" spans="1:10" ht="216" customHeight="1" x14ac:dyDescent="0.3">
      <c r="A10" s="1">
        <v>4</v>
      </c>
      <c r="C10" s="1" t="s">
        <v>20</v>
      </c>
      <c r="D10" s="1" t="s">
        <v>152</v>
      </c>
      <c r="E10" s="27" t="s">
        <v>153</v>
      </c>
      <c r="F10" s="26" t="s">
        <v>154</v>
      </c>
    </row>
    <row r="11" spans="1:10" ht="216" customHeight="1" x14ac:dyDescent="0.3">
      <c r="A11" s="1">
        <v>5</v>
      </c>
      <c r="C11" s="1" t="s">
        <v>20</v>
      </c>
      <c r="D11" s="1" t="s">
        <v>155</v>
      </c>
      <c r="E11" s="27" t="s">
        <v>156</v>
      </c>
      <c r="F11" s="2" t="s">
        <v>157</v>
      </c>
    </row>
    <row r="12" spans="1:10" ht="216" customHeight="1" x14ac:dyDescent="0.3">
      <c r="A12" s="1">
        <v>6</v>
      </c>
      <c r="C12" s="1" t="s">
        <v>20</v>
      </c>
      <c r="D12" s="27" t="s">
        <v>143</v>
      </c>
      <c r="E12" s="27" t="s">
        <v>158</v>
      </c>
      <c r="F12" s="2" t="s">
        <v>159</v>
      </c>
    </row>
    <row r="13" spans="1:10" ht="216" customHeight="1" x14ac:dyDescent="0.3">
      <c r="A13" s="1">
        <v>7</v>
      </c>
      <c r="C13" s="1" t="s">
        <v>20</v>
      </c>
      <c r="D13" s="1" t="s">
        <v>160</v>
      </c>
      <c r="E13" s="27" t="s">
        <v>168</v>
      </c>
      <c r="F13" s="2" t="s">
        <v>167</v>
      </c>
    </row>
    <row r="14" spans="1:10" ht="216" customHeight="1" x14ac:dyDescent="0.3">
      <c r="A14">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Sprint 01</vt:lpstr>
      <vt:lpstr>Sprint 01 Burndown</vt:lpstr>
      <vt:lpstr>Sprint 02</vt:lpstr>
      <vt:lpstr>Sprint 02 Burndown</vt:lpstr>
      <vt:lpstr>Sprint 03</vt:lpstr>
      <vt:lpstr>Sprint 03 Burndown</vt:lpstr>
      <vt:lpstr>Sprint 04</vt:lpstr>
      <vt:lpstr>Sprint 04 Burndown</vt:lpstr>
      <vt:lpstr>sprint 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sayanb0978@gmail.com</cp:lastModifiedBy>
  <dcterms:created xsi:type="dcterms:W3CDTF">2026-01-01T14:00:11Z</dcterms:created>
  <dcterms:modified xsi:type="dcterms:W3CDTF">2026-10-07T15:03:20Z</dcterms:modified>
</cp:coreProperties>
</file>