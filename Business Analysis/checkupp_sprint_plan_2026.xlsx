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GitHub\CheckUpp\Business Analysis\"/>
    </mc:Choice>
  </mc:AlternateContent>
  <xr:revisionPtr revIDLastSave="0" documentId="13_ncr:1_{BB9CE57E-1583-4BD1-804B-D63B90208C71}" xr6:coauthVersionLast="47" xr6:coauthVersionMax="47" xr10:uidLastSave="{00000000-0000-0000-0000-000000000000}"/>
  <bookViews>
    <workbookView xWindow="-108" yWindow="-108" windowWidth="23256" windowHeight="12456" activeTab="1" xr2:uid="{00000000-000D-0000-FFFF-FFFF00000000}"/>
  </bookViews>
  <sheets>
    <sheet name="Sprint 01" sheetId="1" r:id="rId1"/>
    <sheet name="Sprint 01 Burndown" sheetId="4" r:id="rId2"/>
  </sheets>
  <definedNames>
    <definedName name="_xlnm._FilterDatabase" localSheetId="0" hidden="1">'Sprint 01'!$E$1:$E$112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0" i="4" l="1"/>
  <c r="C10" i="4"/>
  <c r="D9" i="4"/>
  <c r="C9" i="4"/>
  <c r="D8" i="4"/>
  <c r="C8" i="4"/>
  <c r="D7" i="4"/>
  <c r="C7" i="4"/>
  <c r="D6" i="4"/>
  <c r="C6" i="4"/>
  <c r="D5" i="4"/>
  <c r="C5" i="4"/>
  <c r="D4" i="4"/>
  <c r="C4" i="4"/>
  <c r="D3" i="4"/>
  <c r="C3" i="4"/>
  <c r="D2" i="4"/>
  <c r="C2" i="4"/>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I22" i="1" a="1"/>
  <c r="I22" i="1" s="1"/>
  <c r="I21" i="1" a="1"/>
  <c r="I21" i="1" s="1"/>
  <c r="I20" i="1" a="1"/>
  <c r="I20" i="1" s="1"/>
  <c r="I19" i="1" a="1"/>
  <c r="I19" i="1" s="1"/>
  <c r="I18" i="1" a="1"/>
  <c r="I18" i="1" s="1"/>
  <c r="I17" i="1" a="1"/>
  <c r="I17" i="1" s="1"/>
  <c r="I16" i="1" a="1"/>
  <c r="I16" i="1" s="1"/>
  <c r="I15" i="1" a="1"/>
  <c r="I15" i="1" s="1"/>
  <c r="I14" i="1" a="1"/>
  <c r="I14" i="1" s="1"/>
  <c r="I13" i="1" a="1"/>
  <c r="I13" i="1" s="1"/>
  <c r="I12" i="1" a="1"/>
  <c r="I12" i="1" s="1"/>
  <c r="I11" i="1" a="1"/>
  <c r="I11" i="1" s="1"/>
  <c r="I10" i="1" a="1"/>
  <c r="I10" i="1" s="1"/>
  <c r="I9" i="1" a="1"/>
  <c r="I9" i="1" s="1"/>
  <c r="I8" i="1" a="1"/>
  <c r="I8" i="1" s="1"/>
  <c r="I7" i="1" a="1"/>
  <c r="I7" i="1" s="1"/>
  <c r="I6" i="1" a="1"/>
  <c r="I6" i="1" s="1"/>
  <c r="I5" i="1" a="1"/>
  <c r="I5" i="1" s="1"/>
  <c r="I4" i="1" a="1"/>
  <c r="I4" i="1" s="1"/>
  <c r="I3" i="1" a="1"/>
  <c r="I3" i="1" s="1"/>
  <c r="I2" i="1" a="1"/>
  <c r="I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<sst xmlns="http://schemas.openxmlformats.org/spreadsheetml/2006/main" count="173" uniqueCount="76">
  <si>
    <t>Epic</t>
  </si>
  <si>
    <t>User Story ID</t>
  </si>
  <si>
    <t>User Story (Short)</t>
  </si>
  <si>
    <t>Task</t>
  </si>
  <si>
    <t>Assigned To</t>
  </si>
  <si>
    <t>Status</t>
  </si>
  <si>
    <t>Blocker / Notes</t>
  </si>
  <si>
    <t>DoD Met?</t>
  </si>
  <si>
    <t>T-Shirt Sizing</t>
  </si>
  <si>
    <t>Story Point</t>
  </si>
  <si>
    <t>Scope</t>
  </si>
  <si>
    <t>Task #</t>
  </si>
  <si>
    <t>Days</t>
  </si>
  <si>
    <t>Actual Story Points Left</t>
  </si>
  <si>
    <t>Expected Story Points Left</t>
  </si>
  <si>
    <t>Story Points Done</t>
  </si>
  <si>
    <t>Setup</t>
  </si>
  <si>
    <t>Clone the folllowing GitHub repositories:
1. checkupp-mobile
2. checkupp-api</t>
  </si>
  <si>
    <t>All</t>
  </si>
  <si>
    <t>XS</t>
  </si>
  <si>
    <t>Frontend</t>
  </si>
  <si>
    <t>Alekhya</t>
  </si>
  <si>
    <t>Backend</t>
  </si>
  <si>
    <t>S</t>
  </si>
  <si>
    <t>Sayan</t>
  </si>
  <si>
    <t>Your Health Overview</t>
  </si>
  <si>
    <t>Setup Dev environment</t>
  </si>
  <si>
    <t>M</t>
  </si>
  <si>
    <t>View Upcoming Appointments</t>
  </si>
  <si>
    <t>Atish</t>
  </si>
  <si>
    <t>L</t>
  </si>
  <si>
    <t>Test</t>
  </si>
  <si>
    <t>Make Your Health Overview interactive and modular</t>
  </si>
  <si>
    <t>Dev environment setup</t>
  </si>
  <si>
    <t>Implement business logic for Your Health Overview</t>
  </si>
  <si>
    <t>Implement backend API for Your Health Overview</t>
  </si>
  <si>
    <t>Unit &amp; Integration tests for Your Health Overview</t>
  </si>
  <si>
    <t>View Upcoming, Due, Completed screenings</t>
  </si>
  <si>
    <r>
      <rPr>
        <b/>
        <sz val="11"/>
        <color theme="1"/>
        <rFont val="Calibri"/>
        <family val="2"/>
        <scheme val="minor"/>
      </rPr>
      <t>Extract Hardcoded "Your Health Overview" Section into a Standalone Component &amp; Import in Home Screen</t>
    </r>
    <r>
      <rPr>
        <sz val="11"/>
        <color theme="1"/>
        <rFont val="Calibri"/>
        <family val="2"/>
        <scheme val="minor"/>
      </rPr>
      <t xml:space="preserve">
- Create </t>
    </r>
    <r>
      <rPr>
        <b/>
        <sz val="11"/>
        <color theme="1"/>
        <rFont val="Calibri"/>
        <family val="2"/>
        <scheme val="minor"/>
      </rPr>
      <t>checkupp-mobile/components/home/HealthOverviewSection.tsx</t>
    </r>
    <r>
      <rPr>
        <sz val="11"/>
        <color theme="1"/>
        <rFont val="Calibri"/>
        <family val="2"/>
        <scheme val="minor"/>
      </rPr>
      <t xml:space="preserve">
- Modify </t>
    </r>
    <r>
      <rPr>
        <b/>
        <sz val="11"/>
        <color theme="1"/>
        <rFont val="Calibri"/>
        <family val="2"/>
        <scheme val="minor"/>
      </rPr>
      <t>checkupp-mobile/app/(tabs)/home.tsx</t>
    </r>
    <r>
      <rPr>
        <sz val="11"/>
        <color theme="1"/>
        <rFont val="Calibri"/>
        <family val="2"/>
        <scheme val="minor"/>
      </rPr>
      <t xml:space="preserve">
- Extract Component: Remove the entire JSX block under {/* Stats Overview */} from </t>
    </r>
    <r>
      <rPr>
        <b/>
        <sz val="11"/>
        <color theme="1"/>
        <rFont val="Calibri"/>
        <family val="2"/>
        <scheme val="minor"/>
      </rPr>
      <t>checkupp-mobile/app/(tabs)/home.tsx</t>
    </r>
    <r>
      <rPr>
        <sz val="11"/>
        <color theme="1"/>
        <rFont val="Calibri"/>
        <family val="2"/>
        <scheme val="minor"/>
      </rPr>
      <t xml:space="preserve"> (the card displaying the "Your Health Overview" title, overviewStatus subtitle, completion percentage, and upcoming count).
- Create a new modular, functional React Native component at </t>
    </r>
    <r>
      <rPr>
        <b/>
        <sz val="11"/>
        <color theme="1"/>
        <rFont val="Calibri"/>
        <family val="2"/>
        <scheme val="minor"/>
      </rPr>
      <t>checkupp-mobile/components/home/HealthOverviewSection.tsx</t>
    </r>
    <r>
      <rPr>
        <sz val="11"/>
        <color theme="1"/>
        <rFont val="Calibri"/>
        <family val="2"/>
        <scheme val="minor"/>
      </rPr>
      <t xml:space="preserve">.
- Define TypeScript interface HealthOverviewSectionProps:
TypeScript
export interface HealthOverviewSectionProps {
  overview: ScreeningOverviewData;  loading: boolean; refreshing: boolean; onPress: () =&gt; void; }
- </t>
    </r>
    <r>
      <rPr>
        <b/>
        <sz val="11"/>
        <color theme="1"/>
        <rFont val="Calibri"/>
        <family val="2"/>
        <scheme val="minor"/>
      </rPr>
      <t>Make Interactive</t>
    </r>
    <r>
      <rPr>
        <sz val="11"/>
        <color theme="1"/>
        <rFont val="Calibri"/>
        <family val="2"/>
        <scheme val="minor"/>
      </rPr>
      <t xml:space="preserve">: Wrap the outermost white card container (bg-white rounded-xl border border-gray-100) in a TouchableOpacity with activeOpacity={0.7} and assign onPress={onPress}.
- </t>
    </r>
    <r>
      <rPr>
        <sz val="11"/>
        <color theme="1" tint="4.9989318521683403E-2"/>
        <rFont val="Calibri"/>
        <family val="2"/>
        <scheme val="minor"/>
      </rPr>
      <t xml:space="preserve">Add a visual affordance: Text - "See more" + subtle chevron-forward (&gt;) icon from </t>
    </r>
    <r>
      <rPr>
        <b/>
        <sz val="11"/>
        <color theme="1" tint="4.9989318521683403E-2"/>
        <rFont val="Calibri"/>
        <family val="2"/>
        <scheme val="minor"/>
      </rPr>
      <t>@expo/vector-icons/Ionicons</t>
    </r>
    <r>
      <rPr>
        <sz val="11"/>
        <color theme="1" tint="4.9989318521683403E-2"/>
        <rFont val="Calibri"/>
        <family val="2"/>
        <scheme val="minor"/>
      </rPr>
      <t>, so users understand the card is tappable. Render this at the bottom of the card, aligned center.</t>
    </r>
    <r>
      <rPr>
        <sz val="11"/>
        <color theme="1"/>
        <rFont val="Calibri"/>
        <family val="2"/>
        <scheme val="minor"/>
      </rPr>
      <t xml:space="preserve">
- Refactor Home Screen: In </t>
    </r>
    <r>
      <rPr>
        <b/>
        <sz val="11"/>
        <color theme="1"/>
        <rFont val="Calibri"/>
        <family val="2"/>
        <scheme val="minor"/>
      </rPr>
      <t>checkupp-mobile/app/(tabs)/home.tsx</t>
    </r>
    <r>
      <rPr>
        <sz val="11"/>
        <color theme="1"/>
        <rFont val="Calibri"/>
        <family val="2"/>
        <scheme val="minor"/>
      </rPr>
      <t xml:space="preserve">, </t>
    </r>
    <r>
      <rPr>
        <b/>
        <sz val="11"/>
        <color theme="1"/>
        <rFont val="Calibri"/>
        <family val="2"/>
        <scheme val="minor"/>
      </rPr>
      <t>import HealthOverviewSection from @/components/home/HealthOverviewSection</t>
    </r>
    <r>
      <rPr>
        <sz val="11"/>
        <color theme="1"/>
        <rFont val="Calibri"/>
        <family val="2"/>
        <scheme val="minor"/>
      </rPr>
      <t>.
- Replace the extracted hardcoded block with:
TypeScript
&lt;HealthOverviewSection
  overview={overview} loading={loading} refreshing={refreshing} onPress={() =&gt; router.push("/health-overview")} /&gt;
- Ensure all responsive scaling utilities (</t>
    </r>
    <r>
      <rPr>
        <b/>
        <sz val="11"/>
        <color theme="1"/>
        <rFont val="Calibri"/>
        <family val="2"/>
        <scheme val="minor"/>
      </rPr>
      <t>scale</t>
    </r>
    <r>
      <rPr>
        <sz val="11"/>
        <color theme="1"/>
        <rFont val="Calibri"/>
        <family val="2"/>
        <scheme val="minor"/>
      </rPr>
      <t xml:space="preserve">, </t>
    </r>
    <r>
      <rPr>
        <b/>
        <sz val="11"/>
        <color theme="1"/>
        <rFont val="Calibri"/>
        <family val="2"/>
        <scheme val="minor"/>
      </rPr>
      <t>verticalScale</t>
    </r>
    <r>
      <rPr>
        <sz val="11"/>
        <color theme="1"/>
        <rFont val="Calibri"/>
        <family val="2"/>
        <scheme val="minor"/>
      </rPr>
      <t xml:space="preserve">, </t>
    </r>
    <r>
      <rPr>
        <b/>
        <sz val="11"/>
        <color theme="1"/>
        <rFont val="Calibri"/>
        <family val="2"/>
        <scheme val="minor"/>
      </rPr>
      <t>getFontSize</t>
    </r>
    <r>
      <rPr>
        <sz val="11"/>
        <color theme="1"/>
        <rFont val="Calibri"/>
        <family val="2"/>
        <scheme val="minor"/>
      </rPr>
      <t xml:space="preserve">, </t>
    </r>
    <r>
      <rPr>
        <b/>
        <sz val="11"/>
        <color theme="1"/>
        <rFont val="Calibri"/>
        <family val="2"/>
        <scheme val="minor"/>
      </rPr>
      <t>getSpacing</t>
    </r>
    <r>
      <rPr>
        <sz val="11"/>
        <color theme="1"/>
        <rFont val="Calibri"/>
        <family val="2"/>
        <scheme val="minor"/>
      </rPr>
      <t xml:space="preserve">) and NativeWind/Tailwind classes are imported cleanly in </t>
    </r>
    <r>
      <rPr>
        <b/>
        <sz val="11"/>
        <color theme="1"/>
        <rFont val="Calibri"/>
        <family val="2"/>
        <scheme val="minor"/>
      </rPr>
      <t>HealthOverviewSection.tsx</t>
    </r>
    <r>
      <rPr>
        <sz val="11"/>
        <color theme="1"/>
        <rFont val="Calibri"/>
        <family val="2"/>
        <scheme val="minor"/>
      </rPr>
      <t xml:space="preserve"> with zero visual regression.</t>
    </r>
  </si>
  <si>
    <t>1.1, 1.6</t>
  </si>
  <si>
    <t>1.2, 1.3, 1.4, 1.5</t>
  </si>
  <si>
    <t>1.1, 1.2, 1.3, 1.4, 1.8</t>
  </si>
  <si>
    <t>1.1, 1.2, 1.3, 1.4, 1.6, 1.7</t>
  </si>
  <si>
    <t>1.1, 1.2, 1.3, 1.4, 1.7</t>
  </si>
  <si>
    <r>
      <rPr>
        <b/>
        <sz val="11"/>
        <color theme="1"/>
        <rFont val="Calibri"/>
        <family val="2"/>
        <scheme val="minor"/>
      </rPr>
      <t>Automated Unit &amp; Integration Test Suite for Overview Date Boundaries &amp; Overdue Flags</t>
    </r>
    <r>
      <rPr>
        <sz val="11"/>
        <color theme="1"/>
        <rFont val="Calibri"/>
        <family val="2"/>
        <scheme val="minor"/>
      </rPr>
      <t xml:space="preserve">
1.</t>
    </r>
    <r>
      <rPr>
        <b/>
        <sz val="11"/>
        <color theme="1"/>
        <rFont val="Calibri"/>
        <family val="2"/>
        <scheme val="minor"/>
      </rPr>
      <t xml:space="preserve"> </t>
    </r>
    <r>
      <rPr>
        <sz val="11"/>
        <color theme="1"/>
        <rFont val="Calibri"/>
        <family val="2"/>
        <scheme val="minor"/>
      </rPr>
      <t xml:space="preserve">Create </t>
    </r>
    <r>
      <rPr>
        <b/>
        <sz val="11"/>
        <color theme="1"/>
        <rFont val="Calibri"/>
        <family val="2"/>
        <scheme val="minor"/>
      </rPr>
      <t>checkupp-api/tests/modules/screenings/overview-sorting-and-cycles.test.ts</t>
    </r>
    <r>
      <rPr>
        <sz val="11"/>
        <color theme="1"/>
        <rFont val="Calibri"/>
        <family val="2"/>
        <scheme val="minor"/>
      </rPr>
      <t xml:space="preserve">
2. Use </t>
    </r>
    <r>
      <rPr>
        <b/>
        <sz val="11"/>
        <color theme="1"/>
        <rFont val="Calibri"/>
        <family val="2"/>
        <scheme val="minor"/>
      </rPr>
      <t>Jest</t>
    </r>
    <r>
      <rPr>
        <sz val="11"/>
        <color theme="1"/>
        <rFont val="Calibri"/>
        <family val="2"/>
        <scheme val="minor"/>
      </rPr>
      <t xml:space="preserve"> and </t>
    </r>
    <r>
      <rPr>
        <b/>
        <sz val="11"/>
        <color theme="1"/>
        <rFont val="Calibri"/>
        <family val="2"/>
        <scheme val="minor"/>
      </rPr>
      <t>supertest</t>
    </r>
    <r>
      <rPr>
        <sz val="11"/>
        <color theme="1"/>
        <rFont val="Calibri"/>
        <family val="2"/>
        <scheme val="minor"/>
      </rPr>
      <t xml:space="preserve"> against the Express server instance.
3. Seed test database with a mock user (</t>
    </r>
    <r>
      <rPr>
        <b/>
        <sz val="11"/>
        <color theme="1"/>
        <rFont val="Calibri"/>
        <family val="2"/>
        <scheme val="minor"/>
      </rPr>
      <t>user-test-uuid</t>
    </r>
    <r>
      <rPr>
        <sz val="11"/>
        <color theme="1"/>
        <rFont val="Calibri"/>
        <family val="2"/>
        <scheme val="minor"/>
      </rPr>
      <t xml:space="preserve">)
4. </t>
    </r>
    <r>
      <rPr>
        <b/>
        <sz val="11"/>
        <color theme="1"/>
        <rFont val="Calibri"/>
        <family val="2"/>
        <scheme val="minor"/>
      </rPr>
      <t>Test Case 1</t>
    </r>
    <r>
      <rPr>
        <sz val="11"/>
        <color theme="1"/>
        <rFont val="Calibri"/>
        <family val="2"/>
        <scheme val="minor"/>
      </rPr>
      <t xml:space="preserve"> (Chronological Sorting - US 1.7): Seed 3 Upcoming items (due in +80, +10, +45 days). Assert </t>
    </r>
    <r>
      <rPr>
        <b/>
        <sz val="11"/>
        <color theme="1"/>
        <rFont val="Calibri"/>
        <family val="2"/>
        <scheme val="minor"/>
      </rPr>
      <t>res.body.upcoming</t>
    </r>
    <r>
      <rPr>
        <sz val="11"/>
        <color theme="1"/>
        <rFont val="Calibri"/>
        <family val="2"/>
        <scheme val="minor"/>
      </rPr>
      <t xml:space="preserve"> is ordered: +10, +45, +80.
5. </t>
    </r>
    <r>
      <rPr>
        <b/>
        <sz val="11"/>
        <color theme="1"/>
        <rFont val="Calibri"/>
        <family val="2"/>
        <scheme val="minor"/>
      </rPr>
      <t>Test Case 2</t>
    </r>
    <r>
      <rPr>
        <sz val="11"/>
        <color theme="1"/>
        <rFont val="Calibri"/>
        <family val="2"/>
        <scheme val="minor"/>
      </rPr>
      <t xml:space="preserve"> (Overdue Pinning - US 1.7 AC 2):Seed 2 Due items (+120, +200 days) and 2 Overdue items (-5 days, -30 days). Assert </t>
    </r>
    <r>
      <rPr>
        <b/>
        <sz val="11"/>
        <color theme="1"/>
        <rFont val="Calibri"/>
        <family val="2"/>
        <scheme val="minor"/>
      </rPr>
      <t>res.body.due order</t>
    </r>
    <r>
      <rPr>
        <sz val="11"/>
        <color theme="1"/>
        <rFont val="Calibri"/>
        <family val="2"/>
        <scheme val="minor"/>
      </rPr>
      <t xml:space="preserve">: -30 days (most overdue first), -5 days, +120 days, +200 days.
6. </t>
    </r>
    <r>
      <rPr>
        <b/>
        <sz val="11"/>
        <color theme="1"/>
        <rFont val="Calibri"/>
        <family val="2"/>
        <scheme val="minor"/>
      </rPr>
      <t>Test Case 3</t>
    </r>
    <r>
      <rPr>
        <sz val="11"/>
        <color theme="1"/>
        <rFont val="Calibri"/>
        <family val="2"/>
        <scheme val="minor"/>
      </rPr>
      <t xml:space="preserve"> (Next Cycle Auto-Transition - US 1.6):Execute </t>
    </r>
    <r>
      <rPr>
        <b/>
        <sz val="11"/>
        <color theme="1"/>
        <rFont val="Calibri"/>
        <family val="2"/>
        <scheme val="minor"/>
      </rPr>
      <t>POST /me/screenings/records</t>
    </r>
    <r>
      <rPr>
        <sz val="11"/>
        <color theme="1"/>
        <rFont val="Calibri"/>
        <family val="2"/>
        <scheme val="minor"/>
      </rPr>
      <t xml:space="preserve"> to complete an overdue test with a 12-month interval. </t>
    </r>
    <r>
      <rPr>
        <b/>
        <sz val="11"/>
        <color theme="1"/>
        <rFont val="Calibri"/>
        <family val="2"/>
        <scheme val="minor"/>
      </rPr>
      <t>Execute GET /me/screenings/overview</t>
    </r>
    <r>
      <rPr>
        <sz val="11"/>
        <color theme="1"/>
        <rFont val="Calibri"/>
        <family val="2"/>
        <scheme val="minor"/>
      </rPr>
      <t xml:space="preserve"> -&gt; verify old item is in </t>
    </r>
    <r>
      <rPr>
        <b/>
        <sz val="11"/>
        <color theme="1"/>
        <rFont val="Calibri"/>
        <family val="2"/>
        <scheme val="minor"/>
      </rPr>
      <t>completed</t>
    </r>
    <r>
      <rPr>
        <sz val="11"/>
        <color theme="1"/>
        <rFont val="Calibri"/>
        <family val="2"/>
        <scheme val="minor"/>
      </rPr>
      <t xml:space="preserve"> and a new item due in 365 days exists in </t>
    </r>
    <r>
      <rPr>
        <b/>
        <sz val="11"/>
        <color theme="1"/>
        <rFont val="Calibri"/>
        <family val="2"/>
        <scheme val="minor"/>
      </rPr>
      <t>due</t>
    </r>
    <r>
      <rPr>
        <sz val="11"/>
        <color theme="1"/>
        <rFont val="Calibri"/>
        <family val="2"/>
        <scheme val="minor"/>
      </rPr>
      <t>.</t>
    </r>
  </si>
  <si>
    <r>
      <rPr>
        <b/>
        <sz val="11"/>
        <color theme="1"/>
        <rFont val="Calibri"/>
        <family val="2"/>
        <scheme val="minor"/>
      </rPr>
      <t>Extend TanStack Query Client, Hook &amp; Offline Cache Persistence for /me/screenings/overview</t>
    </r>
    <r>
      <rPr>
        <sz val="11"/>
        <color theme="1"/>
        <rFont val="Calibri"/>
        <family val="2"/>
        <scheme val="minor"/>
      </rPr>
      <t xml:space="preserve">
1. Modify </t>
    </r>
    <r>
      <rPr>
        <b/>
        <sz val="11"/>
        <color theme="1"/>
        <rFont val="Calibri"/>
        <family val="2"/>
        <scheme val="minor"/>
      </rPr>
      <t xml:space="preserve">checkupp-mobile/lib/features/screenings/overview.ts </t>
    </r>
    <r>
      <rPr>
        <sz val="11"/>
        <color theme="1"/>
        <rFont val="Calibri"/>
        <family val="2"/>
        <scheme val="minor"/>
      </rPr>
      <t xml:space="preserve">and </t>
    </r>
    <r>
      <rPr>
        <b/>
        <sz val="11"/>
        <color theme="1"/>
        <rFont val="Calibri"/>
        <family val="2"/>
        <scheme val="minor"/>
      </rPr>
      <t>checkupp-mobile/lib/query/keys.ts</t>
    </r>
    <r>
      <rPr>
        <sz val="11"/>
        <color theme="1"/>
        <rFont val="Calibri"/>
        <family val="2"/>
        <scheme val="minor"/>
      </rPr>
      <t xml:space="preserve">
2. Define query key </t>
    </r>
    <r>
      <rPr>
        <b/>
        <sz val="11"/>
        <color theme="1"/>
        <rFont val="Calibri"/>
        <family val="2"/>
        <scheme val="minor"/>
      </rPr>
      <t>screeningKeys.overview(userId)</t>
    </r>
    <r>
      <rPr>
        <sz val="11"/>
        <color theme="1"/>
        <rFont val="Calibri"/>
        <family val="2"/>
        <scheme val="minor"/>
      </rPr>
      <t xml:space="preserve"> in </t>
    </r>
    <r>
      <rPr>
        <b/>
        <sz val="11"/>
        <color theme="1"/>
        <rFont val="Calibri"/>
        <family val="2"/>
        <scheme val="minor"/>
      </rPr>
      <t>checkupp-mobile/lib/query/keys.ts</t>
    </r>
    <r>
      <rPr>
        <sz val="11"/>
        <color theme="1"/>
        <rFont val="Calibri"/>
        <family val="2"/>
        <scheme val="minor"/>
      </rPr>
      <t xml:space="preserve">.
3. In </t>
    </r>
    <r>
      <rPr>
        <b/>
        <sz val="11"/>
        <color theme="1"/>
        <rFont val="Calibri"/>
        <family val="2"/>
        <scheme val="minor"/>
      </rPr>
      <t>checkupp-mobile/lib/features/screenings/overview.ts</t>
    </r>
    <r>
      <rPr>
        <sz val="11"/>
        <color theme="1"/>
        <rFont val="Calibri"/>
        <family val="2"/>
        <scheme val="minor"/>
      </rPr>
      <t xml:space="preserve">, implement custom query hook </t>
    </r>
    <r>
      <rPr>
        <b/>
        <sz val="11"/>
        <color theme="1"/>
        <rFont val="Calibri"/>
        <family val="2"/>
        <scheme val="minor"/>
      </rPr>
      <t>useScreeningOverview(userId?: string)</t>
    </r>
    <r>
      <rPr>
        <sz val="11"/>
        <color theme="1"/>
        <rFont val="Calibri"/>
        <family val="2"/>
        <scheme val="minor"/>
      </rPr>
      <t>:
TypeScript
export const useScreeningOverview = (userId?: string) =&gt; {
  return useQuery&lt;ScreeningOverviewResponse, Error&gt;({
    queryKey: ['screenings', 'overview', userId],
    queryFn: async () =&gt; {
      const { data } = await apiClient.get('/me/screenings/overview');
      return data;
    },
    enabled: !!userId,
    staleTime: 1000 * 60 * 5,
    gcTime: 1000 * 60 * 60 * 24, // 24h cache persistence for offline mode
    retry: 1,
  });
};
4. Ensure TanStack Query is configured with AsyncStorage/MMKV persistence so that cached schedule data remains accessible during offline starts (US 1.8).</t>
    </r>
  </si>
  <si>
    <r>
      <rPr>
        <b/>
        <sz val="11"/>
        <color theme="1"/>
        <rFont val="Calibri"/>
        <family val="2"/>
        <scheme val="minor"/>
      </rPr>
      <t>Build Your Health Overview Screen &amp; Segmented Top Tabs Layout &amp; Dynamic Count Badges</t>
    </r>
    <r>
      <rPr>
        <sz val="11"/>
        <color theme="1"/>
        <rFont val="Calibri"/>
        <family val="2"/>
        <scheme val="minor"/>
      </rPr>
      <t xml:space="preserve">
1. Create </t>
    </r>
    <r>
      <rPr>
        <b/>
        <sz val="11"/>
        <color theme="1"/>
        <rFont val="Calibri"/>
        <family val="2"/>
        <scheme val="minor"/>
      </rPr>
      <t>checkupp-mobile/app/health-overview/index.tsx</t>
    </r>
    <r>
      <rPr>
        <sz val="11"/>
        <color theme="1"/>
        <rFont val="Calibri"/>
        <family val="2"/>
        <scheme val="minor"/>
      </rPr>
      <t xml:space="preserve"> and </t>
    </r>
    <r>
      <rPr>
        <b/>
        <sz val="11"/>
        <color theme="1"/>
        <rFont val="Calibri"/>
        <family val="2"/>
        <scheme val="minor"/>
      </rPr>
      <t>checkupp-mobile/components/screening/OverviewTopTabs.tsx</t>
    </r>
    <r>
      <rPr>
        <sz val="11"/>
        <color theme="1"/>
        <rFont val="Calibri"/>
        <family val="2"/>
        <scheme val="minor"/>
      </rPr>
      <t xml:space="preserve">
2. Top Segmented Control (</t>
    </r>
    <r>
      <rPr>
        <b/>
        <sz val="11"/>
        <color theme="1"/>
        <rFont val="Calibri"/>
        <family val="2"/>
        <scheme val="minor"/>
      </rPr>
      <t>OverviewTopTabs.tsx</t>
    </r>
    <r>
      <rPr>
        <sz val="11"/>
        <color theme="1"/>
        <rFont val="Calibri"/>
        <family val="2"/>
        <scheme val="minor"/>
      </rPr>
      <t xml:space="preserve">):
- Build a pill-shaped segmented control with three horizontal tabs: </t>
    </r>
    <r>
      <rPr>
        <b/>
        <sz val="11"/>
        <color theme="1"/>
        <rFont val="Calibri"/>
        <family val="2"/>
        <scheme val="minor"/>
      </rPr>
      <t>Upcoming</t>
    </r>
    <r>
      <rPr>
        <sz val="11"/>
        <color theme="1"/>
        <rFont val="Calibri"/>
        <family val="2"/>
        <scheme val="minor"/>
      </rPr>
      <t xml:space="preserve">, </t>
    </r>
    <r>
      <rPr>
        <b/>
        <sz val="11"/>
        <color theme="1"/>
        <rFont val="Calibri"/>
        <family val="2"/>
        <scheme val="minor"/>
      </rPr>
      <t>Due</t>
    </r>
    <r>
      <rPr>
        <sz val="11"/>
        <color theme="1"/>
        <rFont val="Calibri"/>
        <family val="2"/>
        <scheme val="minor"/>
      </rPr>
      <t xml:space="preserve">, and </t>
    </r>
    <r>
      <rPr>
        <b/>
        <sz val="11"/>
        <color theme="1"/>
        <rFont val="Calibri"/>
        <family val="2"/>
        <scheme val="minor"/>
      </rPr>
      <t>Completed</t>
    </r>
    <r>
      <rPr>
        <sz val="11"/>
        <color theme="1"/>
        <rFont val="Calibri"/>
        <family val="2"/>
        <scheme val="minor"/>
      </rPr>
      <t xml:space="preserve">.
- Accept props: </t>
    </r>
    <r>
      <rPr>
        <b/>
        <sz val="11"/>
        <color theme="1"/>
        <rFont val="Calibri"/>
        <family val="2"/>
        <scheme val="minor"/>
      </rPr>
      <t>activeTab: 'upcoming' | 'due' | 'completed'</t>
    </r>
    <r>
      <rPr>
        <sz val="11"/>
        <color theme="1"/>
        <rFont val="Calibri"/>
        <family val="2"/>
        <scheme val="minor"/>
      </rPr>
      <t xml:space="preserve">, </t>
    </r>
    <r>
      <rPr>
        <b/>
        <sz val="11"/>
        <color theme="1"/>
        <rFont val="Calibri"/>
        <family val="2"/>
        <scheme val="minor"/>
      </rPr>
      <t>counts: { upcoming: number; due: number; completed: number }</t>
    </r>
    <r>
      <rPr>
        <sz val="11"/>
        <color theme="1"/>
        <rFont val="Calibri"/>
        <family val="2"/>
        <scheme val="minor"/>
      </rPr>
      <t xml:space="preserve">, and </t>
    </r>
    <r>
      <rPr>
        <b/>
        <sz val="11"/>
        <color theme="1"/>
        <rFont val="Calibri"/>
        <family val="2"/>
        <scheme val="minor"/>
      </rPr>
      <t>onTabChange: (tab) =&gt; void</t>
    </r>
    <r>
      <rPr>
        <sz val="11"/>
        <color theme="1"/>
        <rFont val="Calibri"/>
        <family val="2"/>
        <scheme val="minor"/>
      </rPr>
      <t xml:space="preserve">.
- Render each tab label dynamically appending the count in parentheses:
a. </t>
    </r>
    <r>
      <rPr>
        <b/>
        <sz val="11"/>
        <color theme="1"/>
        <rFont val="Calibri"/>
        <family val="2"/>
        <scheme val="minor"/>
      </rPr>
      <t>Upcoming (${counts.upcoming})</t>
    </r>
    <r>
      <rPr>
        <sz val="11"/>
        <color theme="1"/>
        <rFont val="Calibri"/>
        <family val="2"/>
        <scheme val="minor"/>
      </rPr>
      <t xml:space="preserve">
b. </t>
    </r>
    <r>
      <rPr>
        <b/>
        <sz val="11"/>
        <color theme="1"/>
        <rFont val="Calibri"/>
        <family val="2"/>
        <scheme val="minor"/>
      </rPr>
      <t>Due (${counts.due})</t>
    </r>
    <r>
      <rPr>
        <sz val="11"/>
        <color theme="1"/>
        <rFont val="Calibri"/>
        <family val="2"/>
        <scheme val="minor"/>
      </rPr>
      <t xml:space="preserve">
c. </t>
    </r>
    <r>
      <rPr>
        <b/>
        <sz val="11"/>
        <color theme="1"/>
        <rFont val="Calibri"/>
        <family val="2"/>
        <scheme val="minor"/>
      </rPr>
      <t>Completed (${counts.completed})</t>
    </r>
    <r>
      <rPr>
        <sz val="11"/>
        <color theme="1"/>
        <rFont val="Calibri"/>
        <family val="2"/>
        <scheme val="minor"/>
      </rPr>
      <t xml:space="preserve">
- Active tab state renders with primary cyan accent </t>
    </r>
    <r>
      <rPr>
        <b/>
        <sz val="11"/>
        <color theme="1"/>
        <rFont val="Calibri"/>
        <family val="2"/>
        <scheme val="minor"/>
      </rPr>
      <t>(bg-[#00CED1] text-white font-psemibold</t>
    </r>
    <r>
      <rPr>
        <sz val="11"/>
        <color theme="1"/>
        <rFont val="Calibri"/>
        <family val="2"/>
        <scheme val="minor"/>
      </rPr>
      <t>), while inactive tabs render in neutral gray (</t>
    </r>
    <r>
      <rPr>
        <b/>
        <sz val="11"/>
        <color theme="1"/>
        <rFont val="Calibri"/>
        <family val="2"/>
        <scheme val="minor"/>
      </rPr>
      <t>bg-gray-100 text-gray-600</t>
    </r>
    <r>
      <rPr>
        <sz val="11"/>
        <color theme="1"/>
        <rFont val="Calibri"/>
        <family val="2"/>
        <scheme val="minor"/>
      </rPr>
      <t>).
3. Screen Scaffold (</t>
    </r>
    <r>
      <rPr>
        <b/>
        <sz val="11"/>
        <color theme="1"/>
        <rFont val="Calibri"/>
        <family val="2"/>
        <scheme val="minor"/>
      </rPr>
      <t>checkupp-mobile/app/health-overview/index.tsx</t>
    </r>
    <r>
      <rPr>
        <sz val="11"/>
        <color theme="1"/>
        <rFont val="Calibri"/>
        <family val="2"/>
        <scheme val="minor"/>
      </rPr>
      <t xml:space="preserve">):
- Use </t>
    </r>
    <r>
      <rPr>
        <b/>
        <sz val="11"/>
        <color theme="1"/>
        <rFont val="Calibri"/>
        <family val="2"/>
        <scheme val="minor"/>
      </rPr>
      <t>SafeAreaView</t>
    </r>
    <r>
      <rPr>
        <sz val="11"/>
        <color theme="1"/>
        <rFont val="Calibri"/>
        <family val="2"/>
        <scheme val="minor"/>
      </rPr>
      <t xml:space="preserve"> from </t>
    </r>
    <r>
      <rPr>
        <b/>
        <sz val="11"/>
        <color theme="1"/>
        <rFont val="Calibri"/>
        <family val="2"/>
        <scheme val="minor"/>
      </rPr>
      <t>react-native-safe-area-context</t>
    </r>
    <r>
      <rPr>
        <sz val="11"/>
        <color theme="1"/>
        <rFont val="Calibri"/>
        <family val="2"/>
        <scheme val="minor"/>
      </rPr>
      <t>.
- Implement a navigation header with a Back button (</t>
    </r>
    <r>
      <rPr>
        <b/>
        <sz val="11"/>
        <color theme="1"/>
        <rFont val="Calibri"/>
        <family val="2"/>
        <scheme val="minor"/>
      </rPr>
      <t>router.back()</t>
    </r>
    <r>
      <rPr>
        <sz val="11"/>
        <color theme="1"/>
        <rFont val="Calibri"/>
        <family val="2"/>
        <scheme val="minor"/>
      </rPr>
      <t>) and Title "</t>
    </r>
    <r>
      <rPr>
        <b/>
        <sz val="11"/>
        <color theme="1"/>
        <rFont val="Calibri"/>
        <family val="2"/>
        <scheme val="minor"/>
      </rPr>
      <t>Your Health Overview</t>
    </r>
    <r>
      <rPr>
        <sz val="11"/>
        <color theme="1"/>
        <rFont val="Calibri"/>
        <family val="2"/>
        <scheme val="minor"/>
      </rPr>
      <t xml:space="preserve">".
- Initialize state </t>
    </r>
    <r>
      <rPr>
        <b/>
        <sz val="11"/>
        <color theme="1"/>
        <rFont val="Calibri"/>
        <family val="2"/>
        <scheme val="minor"/>
      </rPr>
      <t>[activeTab, setActiveTab] = useState&lt;'upcoming' | 'due' | 'completed'&gt;('upcoming')</t>
    </r>
    <r>
      <rPr>
        <sz val="11"/>
        <color theme="1"/>
        <rFont val="Calibri"/>
        <family val="2"/>
        <scheme val="minor"/>
      </rPr>
      <t xml:space="preserve"> so that the "</t>
    </r>
    <r>
      <rPr>
        <b/>
        <sz val="11"/>
        <color theme="1"/>
        <rFont val="Calibri"/>
        <family val="2"/>
        <scheme val="minor"/>
      </rPr>
      <t>Upcoming</t>
    </r>
    <r>
      <rPr>
        <sz val="11"/>
        <color theme="1"/>
        <rFont val="Calibri"/>
        <family val="2"/>
        <scheme val="minor"/>
      </rPr>
      <t>" tab is active by default upon landing.</t>
    </r>
  </si>
  <si>
    <t>1.2, 1.3, 1.4, 1.8</t>
  </si>
  <si>
    <r>
      <rPr>
        <b/>
        <sz val="11"/>
        <color theme="1"/>
        <rFont val="Calibri"/>
        <family val="2"/>
        <scheme val="minor"/>
      </rPr>
      <t>Implement Tab FlatList Views, Pull-to-Refresh, Skeleton Loaders &amp; Strict Empty States</t>
    </r>
    <r>
      <rPr>
        <sz val="11"/>
        <color theme="1"/>
        <rFont val="Calibri"/>
        <family val="2"/>
        <scheme val="minor"/>
      </rPr>
      <t xml:space="preserve">
1. Create </t>
    </r>
    <r>
      <rPr>
        <b/>
        <sz val="11"/>
        <color theme="1"/>
        <rFont val="Calibri"/>
        <family val="2"/>
        <scheme val="minor"/>
      </rPr>
      <t>checkupp-mobile/components/screening/OverviewSkeletonLoader.tsx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Skeleton Loaders</t>
    </r>
    <r>
      <rPr>
        <sz val="11"/>
        <color theme="1"/>
        <rFont val="Calibri"/>
        <family val="2"/>
        <scheme val="minor"/>
      </rPr>
      <t xml:space="preserve"> (US 1.8 AC 2): Build </t>
    </r>
    <r>
      <rPr>
        <b/>
        <sz val="11"/>
        <color theme="1"/>
        <rFont val="Calibri"/>
        <family val="2"/>
        <scheme val="minor"/>
      </rPr>
      <t>OverviewSkeletonLoader.tsx</t>
    </r>
    <r>
      <rPr>
        <sz val="11"/>
        <color theme="1"/>
        <rFont val="Calibri"/>
        <family val="2"/>
        <scheme val="minor"/>
      </rPr>
      <t xml:space="preserve"> displaying 3 animated gray placeholder cards (bg-gray-200 animate-pulse h-20 rounded-xl mb-3) when </t>
    </r>
    <r>
      <rPr>
        <b/>
        <sz val="11"/>
        <color theme="1"/>
        <rFont val="Calibri"/>
        <family val="2"/>
        <scheme val="minor"/>
      </rPr>
      <t>isLoading === true</t>
    </r>
    <r>
      <rPr>
        <sz val="11"/>
        <color theme="1"/>
        <rFont val="Calibri"/>
        <family val="2"/>
        <scheme val="minor"/>
      </rPr>
      <t xml:space="preserve">.
3. Pull-to-Refresh &amp; Offline Cache Behavior (US 1.8 AC 1, 3): 
- Attach </t>
    </r>
    <r>
      <rPr>
        <b/>
        <sz val="11"/>
        <color theme="1"/>
        <rFont val="Calibri"/>
        <family val="2"/>
        <scheme val="minor"/>
      </rPr>
      <t>RefreshControl</t>
    </r>
    <r>
      <rPr>
        <sz val="11"/>
        <color theme="1"/>
        <rFont val="Calibri"/>
        <family val="2"/>
        <scheme val="minor"/>
      </rPr>
      <t xml:space="preserve"> to </t>
    </r>
    <r>
      <rPr>
        <b/>
        <sz val="11"/>
        <color theme="1"/>
        <rFont val="Calibri"/>
        <family val="2"/>
        <scheme val="minor"/>
      </rPr>
      <t>FlatList</t>
    </r>
    <r>
      <rPr>
        <sz val="11"/>
        <color theme="1"/>
        <rFont val="Calibri"/>
        <family val="2"/>
        <scheme val="minor"/>
      </rPr>
      <t xml:space="preserve">:
TypeScript&lt;RefreshControl
  refreshing={isRefetching}
  onRefresh={handleRefresh}
  tintColor="#00CED1"
/&gt;
- In </t>
    </r>
    <r>
      <rPr>
        <b/>
        <sz val="11"/>
        <color theme="1"/>
        <rFont val="Calibri"/>
        <family val="2"/>
        <scheme val="minor"/>
      </rPr>
      <t>handleRefresh</t>
    </r>
    <r>
      <rPr>
        <sz val="11"/>
        <color theme="1"/>
        <rFont val="Calibri"/>
        <family val="2"/>
        <scheme val="minor"/>
      </rPr>
      <t>:
- Trigger refetch().
- If offline (!netInfo.isConnected), ensure spinner dismisses within 3 seconds (setTimeout(() =&gt; setIsRefetching(false), 3000)) and trigger snackbar/toast: Exact string required: "</t>
    </r>
    <r>
      <rPr>
        <b/>
        <sz val="11"/>
        <color theme="1"/>
        <rFont val="Calibri"/>
        <family val="2"/>
        <scheme val="minor"/>
      </rPr>
      <t>No internet connection. Showing your last saved schedule.</t>
    </r>
    <r>
      <rPr>
        <sz val="11"/>
        <color theme="1"/>
        <rFont val="Calibri"/>
        <family val="2"/>
        <scheme val="minor"/>
      </rPr>
      <t xml:space="preserve">"
- Keep previously cached cards visible on screen without disruption.
4. </t>
    </r>
    <r>
      <rPr>
        <b/>
        <sz val="11"/>
        <color theme="1"/>
        <rFont val="Calibri"/>
        <family val="2"/>
        <scheme val="minor"/>
      </rPr>
      <t>Strict Empty States</t>
    </r>
    <r>
      <rPr>
        <sz val="11"/>
        <color theme="1"/>
        <rFont val="Calibri"/>
        <family val="2"/>
        <scheme val="minor"/>
      </rPr>
      <t xml:space="preserve"> (US 1.2–1.4 AC):
- When </t>
    </r>
    <r>
      <rPr>
        <b/>
        <sz val="11"/>
        <color theme="1"/>
        <rFont val="Calibri"/>
        <family val="2"/>
        <scheme val="minor"/>
      </rPr>
      <t>data[activeTab].length === 0</t>
    </r>
    <r>
      <rPr>
        <sz val="11"/>
        <color theme="1"/>
        <rFont val="Calibri"/>
        <family val="2"/>
        <scheme val="minor"/>
      </rPr>
      <t xml:space="preserve"> and not loading, render </t>
    </r>
    <r>
      <rPr>
        <b/>
        <sz val="11"/>
        <color theme="1"/>
        <rFont val="Calibri"/>
        <family val="2"/>
        <scheme val="minor"/>
      </rPr>
      <t>EmptyState</t>
    </r>
    <r>
      <rPr>
        <sz val="11"/>
        <color theme="1"/>
        <rFont val="Calibri"/>
        <family val="2"/>
        <scheme val="minor"/>
      </rPr>
      <t xml:space="preserve">:
a. </t>
    </r>
    <r>
      <rPr>
        <b/>
        <sz val="11"/>
        <color theme="1"/>
        <rFont val="Calibri"/>
        <family val="2"/>
        <scheme val="minor"/>
      </rPr>
      <t>activeTab === 'upcoming'</t>
    </r>
    <r>
      <rPr>
        <sz val="11"/>
        <color theme="1"/>
        <rFont val="Calibri"/>
        <family val="2"/>
        <scheme val="minor"/>
      </rPr>
      <t xml:space="preserve"> -&gt; "</t>
    </r>
    <r>
      <rPr>
        <b/>
        <sz val="11"/>
        <color theme="1"/>
        <rFont val="Calibri"/>
        <family val="2"/>
        <scheme val="minor"/>
      </rPr>
      <t>You don't have any upcoming screenings.</t>
    </r>
    <r>
      <rPr>
        <sz val="11"/>
        <color theme="1"/>
        <rFont val="Calibri"/>
        <family val="2"/>
        <scheme val="minor"/>
      </rPr>
      <t xml:space="preserve">"
b. </t>
    </r>
    <r>
      <rPr>
        <b/>
        <sz val="11"/>
        <color theme="1"/>
        <rFont val="Calibri"/>
        <family val="2"/>
        <scheme val="minor"/>
      </rPr>
      <t>activeTab === 'due</t>
    </r>
    <r>
      <rPr>
        <sz val="11"/>
        <color theme="1"/>
        <rFont val="Calibri"/>
        <family val="2"/>
        <scheme val="minor"/>
      </rPr>
      <t>' -&gt; "</t>
    </r>
    <r>
      <rPr>
        <b/>
        <sz val="11"/>
        <color theme="1"/>
        <rFont val="Calibri"/>
        <family val="2"/>
        <scheme val="minor"/>
      </rPr>
      <t>You don't have any due screenings.</t>
    </r>
    <r>
      <rPr>
        <sz val="11"/>
        <color theme="1"/>
        <rFont val="Calibri"/>
        <family val="2"/>
        <scheme val="minor"/>
      </rPr>
      <t xml:space="preserve">"
c. </t>
    </r>
    <r>
      <rPr>
        <b/>
        <sz val="11"/>
        <color theme="1"/>
        <rFont val="Calibri"/>
        <family val="2"/>
        <scheme val="minor"/>
      </rPr>
      <t>activeTab === 'completed'</t>
    </r>
    <r>
      <rPr>
        <sz val="11"/>
        <color theme="1"/>
        <rFont val="Calibri"/>
        <family val="2"/>
        <scheme val="minor"/>
      </rPr>
      <t xml:space="preserve"> -&gt; "</t>
    </r>
    <r>
      <rPr>
        <b/>
        <sz val="11"/>
        <color theme="1"/>
        <rFont val="Calibri"/>
        <family val="2"/>
        <scheme val="minor"/>
      </rPr>
      <t>You don't have any completed screenings.</t>
    </r>
    <r>
      <rPr>
        <sz val="11"/>
        <color theme="1"/>
        <rFont val="Calibri"/>
        <family val="2"/>
        <scheme val="minor"/>
      </rPr>
      <t>"</t>
    </r>
  </si>
  <si>
    <t>1.5, 1.6</t>
  </si>
  <si>
    <r>
      <rPr>
        <b/>
        <sz val="11"/>
        <color theme="1"/>
        <rFont val="Calibri"/>
        <family val="2"/>
        <scheme val="minor"/>
      </rPr>
      <t>Implement Offline Cold-Start Empty State Card &amp; Retryable Error Banner Handlers</t>
    </r>
    <r>
      <rPr>
        <sz val="11"/>
        <color theme="1"/>
        <rFont val="Calibri"/>
        <family val="2"/>
        <scheme val="minor"/>
      </rPr>
      <t xml:space="preserve">
1. Create </t>
    </r>
    <r>
      <rPr>
        <b/>
        <sz val="11"/>
        <color theme="1"/>
        <rFont val="Calibri"/>
        <family val="2"/>
        <scheme val="minor"/>
      </rPr>
      <t>checkupp-mobile/components/screening/OverviewOfflineState.tsx</t>
    </r>
    <r>
      <rPr>
        <sz val="11"/>
        <color theme="1"/>
        <rFont val="Calibri"/>
        <family val="2"/>
        <scheme val="minor"/>
      </rPr>
      <t xml:space="preserve">, create </t>
    </r>
    <r>
      <rPr>
        <b/>
        <sz val="11"/>
        <color theme="1"/>
        <rFont val="Calibri"/>
        <family val="2"/>
        <scheme val="minor"/>
      </rPr>
      <t>checkupp-mobile/components/screening/OverviewErrorBanner.tsx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Offline Cold Start Component</t>
    </r>
    <r>
      <rPr>
        <sz val="11"/>
        <color theme="1"/>
        <rFont val="Calibri"/>
        <family val="2"/>
        <scheme val="minor"/>
      </rPr>
      <t xml:space="preserve"> (OverviewOfflineState.tsx):
- When </t>
    </r>
    <r>
      <rPr>
        <b/>
        <sz val="11"/>
        <color theme="1"/>
        <rFont val="Calibri"/>
        <family val="2"/>
        <scheme val="minor"/>
      </rPr>
      <t>isError &amp;&amp; !data</t>
    </r>
    <r>
      <rPr>
        <sz val="11"/>
        <color theme="1"/>
        <rFont val="Calibri"/>
        <family val="2"/>
        <scheme val="minor"/>
      </rPr>
      <t xml:space="preserve"> and network is offline, render an offline empty-state card.
- Display exact string: "</t>
    </r>
    <r>
      <rPr>
        <b/>
        <sz val="11"/>
        <color theme="1"/>
        <rFont val="Calibri"/>
        <family val="2"/>
        <scheme val="minor"/>
      </rPr>
      <t>You're offline. Connect to the internet to load your screenings.</t>
    </r>
    <r>
      <rPr>
        <sz val="11"/>
        <color theme="1"/>
        <rFont val="Calibri"/>
        <family val="2"/>
        <scheme val="minor"/>
      </rPr>
      <t>" (US 1.8 AC 4).
- Render an interactive [</t>
    </r>
    <r>
      <rPr>
        <b/>
        <sz val="11"/>
        <color theme="1"/>
        <rFont val="Calibri"/>
        <family val="2"/>
        <scheme val="minor"/>
      </rPr>
      <t>Retry</t>
    </r>
    <r>
      <rPr>
        <sz val="11"/>
        <color theme="1"/>
        <rFont val="Calibri"/>
        <family val="2"/>
        <scheme val="minor"/>
      </rPr>
      <t xml:space="preserve">] button that calls </t>
    </r>
    <r>
      <rPr>
        <b/>
        <sz val="11"/>
        <color theme="1"/>
        <rFont val="Calibri"/>
        <family val="2"/>
        <scheme val="minor"/>
      </rPr>
      <t>refetch()</t>
    </r>
    <r>
      <rPr>
        <sz val="11"/>
        <color theme="1"/>
        <rFont val="Calibri"/>
        <family val="2"/>
        <scheme val="minor"/>
      </rPr>
      <t xml:space="preserve">.
3. </t>
    </r>
    <r>
      <rPr>
        <b/>
        <sz val="11"/>
        <color theme="1"/>
        <rFont val="Calibri"/>
        <family val="2"/>
        <scheme val="minor"/>
      </rPr>
      <t>Server Error Banner</t>
    </r>
    <r>
      <rPr>
        <sz val="11"/>
        <color theme="1"/>
        <rFont val="Calibri"/>
        <family val="2"/>
        <scheme val="minor"/>
      </rPr>
      <t xml:space="preserve"> (OverviewErrorBanner.tsx):
- When server returns </t>
    </r>
    <r>
      <rPr>
        <b/>
        <sz val="11"/>
        <color theme="1"/>
        <rFont val="Calibri"/>
        <family val="2"/>
        <scheme val="minor"/>
      </rPr>
      <t>500 Internal Server Error</t>
    </r>
    <r>
      <rPr>
        <sz val="11"/>
        <color theme="1"/>
        <rFont val="Calibri"/>
        <family val="2"/>
        <scheme val="minor"/>
      </rPr>
      <t xml:space="preserve"> (</t>
    </r>
    <r>
      <rPr>
        <b/>
        <sz val="11"/>
        <color theme="1"/>
        <rFont val="Calibri"/>
        <family val="2"/>
        <scheme val="minor"/>
      </rPr>
      <t>isError === true</t>
    </r>
    <r>
      <rPr>
        <sz val="11"/>
        <color theme="1"/>
        <rFont val="Calibri"/>
        <family val="2"/>
        <scheme val="minor"/>
      </rPr>
      <t xml:space="preserve">) AND cached </t>
    </r>
    <r>
      <rPr>
        <b/>
        <sz val="11"/>
        <color theme="1"/>
        <rFont val="Calibri"/>
        <family val="2"/>
        <scheme val="minor"/>
      </rPr>
      <t>data</t>
    </r>
    <r>
      <rPr>
        <sz val="11"/>
        <color theme="1"/>
        <rFont val="Calibri"/>
        <family val="2"/>
        <scheme val="minor"/>
      </rPr>
      <t xml:space="preserve"> exists:
a. Do not crash or hide cached items (US 1.8 AC 5).
b. Render a top yellow/red retryable error banner: "</t>
    </r>
    <r>
      <rPr>
        <b/>
        <sz val="11"/>
        <color theme="1"/>
        <rFont val="Calibri"/>
        <family val="2"/>
        <scheme val="minor"/>
      </rPr>
      <t>Unable to sync latest schedule. Showing offline copy.</t>
    </r>
    <r>
      <rPr>
        <sz val="11"/>
        <color theme="1"/>
        <rFont val="Calibri"/>
        <family val="2"/>
        <scheme val="minor"/>
      </rPr>
      <t>" with a [</t>
    </r>
    <r>
      <rPr>
        <b/>
        <sz val="11"/>
        <color theme="1"/>
        <rFont val="Calibri"/>
        <family val="2"/>
        <scheme val="minor"/>
      </rPr>
      <t>Retry</t>
    </r>
    <r>
      <rPr>
        <sz val="11"/>
        <color theme="1"/>
        <rFont val="Calibri"/>
        <family val="2"/>
        <scheme val="minor"/>
      </rPr>
      <t>] link.</t>
    </r>
  </si>
  <si>
    <r>
      <rPr>
        <b/>
        <sz val="11"/>
        <color theme="1"/>
        <rFont val="Calibri"/>
        <family val="2"/>
        <scheme val="minor"/>
      </rPr>
      <t>Automated Jest Frontend Test Suite for Overview Workflows, Pull-to-Refresh, Offline States &amp; Modal Actions</t>
    </r>
    <r>
      <rPr>
        <sz val="11"/>
        <color theme="1"/>
        <rFont val="Calibri"/>
        <family val="2"/>
        <scheme val="minor"/>
      </rPr>
      <t xml:space="preserve">
1.  Create </t>
    </r>
    <r>
      <rPr>
        <b/>
        <sz val="11"/>
        <color theme="1"/>
        <rFont val="Calibri"/>
        <family val="2"/>
        <scheme val="minor"/>
      </rPr>
      <t>checkupp-mobile/tests/screenings/healthOverviewEpicWorkflows.test.js</t>
    </r>
    <r>
      <rPr>
        <sz val="11"/>
        <color theme="1"/>
        <rFont val="Calibri"/>
        <family val="2"/>
        <scheme val="minor"/>
      </rPr>
      <t xml:space="preserve">
1. Configure Jest + </t>
    </r>
    <r>
      <rPr>
        <b/>
        <sz val="11"/>
        <color theme="1"/>
        <rFont val="Calibri"/>
        <family val="2"/>
        <scheme val="minor"/>
      </rPr>
      <t>@testing-library/react-native</t>
    </r>
    <r>
      <rPr>
        <sz val="11"/>
        <color theme="1"/>
        <rFont val="Calibri"/>
        <family val="2"/>
        <scheme val="minor"/>
      </rPr>
      <t xml:space="preserve"> with mocked Expo Router, NetInfo, and TanStack Query.
- </t>
    </r>
    <r>
      <rPr>
        <b/>
        <sz val="11"/>
        <color theme="1"/>
        <rFont val="Calibri"/>
        <family val="2"/>
        <scheme val="minor"/>
      </rPr>
      <t>Test Case 1</t>
    </r>
    <r>
      <rPr>
        <sz val="11"/>
        <color theme="1"/>
        <rFont val="Calibri"/>
        <family val="2"/>
        <scheme val="minor"/>
      </rPr>
      <t xml:space="preserve"> (Tab Counts &amp; Chronological Order - US 1.1, 1.7):
a. Verify tab titles render Upcoming (2), Due (2), Completed (1).
b. Verify Due tab renders Overdue card at index 0 with red #EF4444 styling and "OVERDUE" badge.
-</t>
    </r>
    <r>
      <rPr>
        <b/>
        <sz val="11"/>
        <color theme="1"/>
        <rFont val="Calibri"/>
        <family val="2"/>
        <scheme val="minor"/>
      </rPr>
      <t xml:space="preserve"> Test Case 2</t>
    </r>
    <r>
      <rPr>
        <sz val="11"/>
        <color theme="1"/>
        <rFont val="Calibri"/>
        <family val="2"/>
        <scheme val="minor"/>
      </rPr>
      <t xml:space="preserve"> (Decision Modal &amp; Routing - US 1.5):
a. Simulate tap on upcoming card. Assert modal appears with exact text "Have you had this screening?".
b. Simulate press on "Yes". Assert router.push is called with form parameters.
- </t>
    </r>
    <r>
      <rPr>
        <b/>
        <sz val="11"/>
        <color theme="1"/>
        <rFont val="Calibri"/>
        <family val="2"/>
        <scheme val="minor"/>
      </rPr>
      <t>Test Case 3</t>
    </r>
    <r>
      <rPr>
        <sz val="11"/>
        <color theme="1"/>
        <rFont val="Calibri"/>
        <family val="2"/>
        <scheme val="minor"/>
      </rPr>
      <t xml:space="preserve"> (Offline Cache &amp; Refresh - US 1.8):
- Simulate offline network state + pull-to-refresh. Assert spinner dismisses within 3000ms and toast "No internet connection. Showing your last saved schedule." is rendered.
- </t>
    </r>
    <r>
      <rPr>
        <b/>
        <sz val="11"/>
        <color theme="1"/>
        <rFont val="Calibri"/>
        <family val="2"/>
        <scheme val="minor"/>
      </rPr>
      <t>Test Case 4</t>
    </r>
    <r>
      <rPr>
        <sz val="11"/>
        <color theme="1"/>
        <rFont val="Calibri"/>
        <family val="2"/>
        <scheme val="minor"/>
      </rPr>
      <t xml:space="preserve"> (Offline Cold Start - US 1.8):
a. Simulate offline network + data: undefined. Assert exact text "You're offline. Connect to the internet to load your screenings." is rendered.
- </t>
    </r>
    <r>
      <rPr>
        <b/>
        <sz val="11"/>
        <color theme="1"/>
        <rFont val="Calibri"/>
        <family val="2"/>
        <scheme val="minor"/>
      </rPr>
      <t>Test Case 5</t>
    </r>
    <r>
      <rPr>
        <sz val="11"/>
        <color theme="1"/>
        <rFont val="Calibri"/>
        <family val="2"/>
        <scheme val="minor"/>
      </rPr>
      <t xml:space="preserve"> (Empty State Exact Strings - US 1.2–1.4):
a. Pass empty arrays for all 3 tabs. Assert exact strings:
"</t>
    </r>
    <r>
      <rPr>
        <b/>
        <sz val="11"/>
        <color theme="1"/>
        <rFont val="Calibri"/>
        <family val="2"/>
        <scheme val="minor"/>
      </rPr>
      <t>You don't have any upcoming screenings.</t>
    </r>
    <r>
      <rPr>
        <sz val="11"/>
        <color theme="1"/>
        <rFont val="Calibri"/>
        <family val="2"/>
        <scheme val="minor"/>
      </rPr>
      <t>"
"</t>
    </r>
    <r>
      <rPr>
        <b/>
        <sz val="11"/>
        <color theme="1"/>
        <rFont val="Calibri"/>
        <family val="2"/>
        <scheme val="minor"/>
      </rPr>
      <t>You don't have any due screenings.</t>
    </r>
    <r>
      <rPr>
        <sz val="11"/>
        <color theme="1"/>
        <rFont val="Calibri"/>
        <family val="2"/>
        <scheme val="minor"/>
      </rPr>
      <t>"
"</t>
    </r>
    <r>
      <rPr>
        <b/>
        <sz val="11"/>
        <color theme="1"/>
        <rFont val="Calibri"/>
        <family val="2"/>
        <scheme val="minor"/>
      </rPr>
      <t>You don't have any completed screenings.</t>
    </r>
    <r>
      <rPr>
        <sz val="11"/>
        <color theme="1"/>
        <rFont val="Calibri"/>
        <family val="2"/>
        <scheme val="minor"/>
      </rPr>
      <t>"</t>
    </r>
  </si>
  <si>
    <t>1.1, 1.2, 1.3, 1.4, 1.5, 1.6, 1.7, 1.8</t>
  </si>
  <si>
    <t>18.2, 18.3, 18.4</t>
  </si>
  <si>
    <t>18.1, 18.2, 18.3, 18.4, 18.5</t>
  </si>
  <si>
    <r>
      <rPr>
        <b/>
        <sz val="11"/>
        <color theme="1"/>
        <rFont val="Calibri"/>
        <family val="2"/>
        <scheme val="minor"/>
      </rPr>
      <t>Automated Jest Unit &amp; Integration Test Suite for Custom Condition Creation, Frequency Math &amp; Outcome Logging</t>
    </r>
    <r>
      <rPr>
        <sz val="11"/>
        <color theme="1"/>
        <rFont val="Calibri"/>
        <family val="2"/>
        <scheme val="minor"/>
      </rPr>
      <t xml:space="preserve">
1. Create </t>
    </r>
    <r>
      <rPr>
        <b/>
        <sz val="11"/>
        <color theme="1"/>
        <rFont val="Calibri"/>
        <family val="2"/>
        <scheme val="minor"/>
      </rPr>
      <t xml:space="preserve">checkupp-api/tests/modules/screenings/customConditions.test.ts
2. </t>
    </r>
    <r>
      <rPr>
        <sz val="11"/>
        <color theme="1"/>
        <rFont val="Calibri"/>
        <family val="2"/>
        <scheme val="minor"/>
      </rPr>
      <t xml:space="preserve">Setup Jest + supertest against the Express server seeded with mock user user-test-uuid.
3. </t>
    </r>
    <r>
      <rPr>
        <b/>
        <sz val="11"/>
        <color theme="1"/>
        <rFont val="Calibri"/>
        <family val="2"/>
        <scheme val="minor"/>
      </rPr>
      <t>Test Case 1</t>
    </r>
    <r>
      <rPr>
        <sz val="11"/>
        <color theme="1"/>
        <rFont val="Calibri"/>
        <family val="2"/>
        <scheme val="minor"/>
      </rPr>
      <t xml:space="preserve"> (Creation - US 18.2, 18.3): Send valid payload with "Custom" frequency (customInterval: 45, customUnit: 'Days'). Assert HTTP 201 Created and database persistence.
4. </t>
    </r>
    <r>
      <rPr>
        <b/>
        <sz val="11"/>
        <color theme="1"/>
        <rFont val="Calibri"/>
        <family val="2"/>
        <scheme val="minor"/>
      </rPr>
      <t xml:space="preserve">Test Case 2 </t>
    </r>
    <r>
      <rPr>
        <sz val="11"/>
        <color theme="1"/>
        <rFont val="Calibri"/>
        <family val="2"/>
        <scheme val="minor"/>
      </rPr>
      <t xml:space="preserve">(Validation Rejection - US 18.2 AC 10): Omit careProvider or send empty conditionName. Assert HTTP 400 Bad Request.
5. </t>
    </r>
    <r>
      <rPr>
        <b/>
        <sz val="11"/>
        <color theme="1"/>
        <rFont val="Calibri"/>
        <family val="2"/>
        <scheme val="minor"/>
      </rPr>
      <t>Test Case 3</t>
    </r>
    <r>
      <rPr>
        <sz val="11"/>
        <color theme="1"/>
        <rFont val="Calibri"/>
        <family val="2"/>
        <scheme val="minor"/>
      </rPr>
      <t xml:space="preserve"> (Outcome Logging &amp; Latest Date - US 18.5):
- POST an outcome record with checkDate: "2026-08-02T00:00:00.000Z".
- Execute GET /me/screenings/custom-conditions and verify the payload returns the latest record check date to support green badge UI rendering.
6. </t>
    </r>
    <r>
      <rPr>
        <b/>
        <sz val="11"/>
        <color theme="1"/>
        <rFont val="Calibri"/>
        <family val="2"/>
        <scheme val="minor"/>
      </rPr>
      <t>Test Case 4</t>
    </r>
    <r>
      <rPr>
        <sz val="11"/>
        <color theme="1"/>
        <rFont val="Calibri"/>
        <family val="2"/>
        <scheme val="minor"/>
      </rPr>
      <t xml:space="preserve"> (Tenant Isolation): Verify another user's JWT token receives 404 when attempting to log an outcome against user-test-uuid's custom condition ID.</t>
    </r>
  </si>
  <si>
    <r>
      <rPr>
        <b/>
        <sz val="11"/>
        <color theme="1"/>
        <rFont val="Calibri"/>
        <family val="2"/>
        <scheme val="minor"/>
      </rPr>
      <t xml:space="preserve">Build SpecificConditionsTriggerCard.tsx Action Component &amp; Import into Health Checks Screening Tab
</t>
    </r>
    <r>
      <rPr>
        <sz val="11"/>
        <color theme="1"/>
        <rFont val="Calibri"/>
        <family val="2"/>
        <scheme val="minor"/>
      </rPr>
      <t xml:space="preserve">1. Create </t>
    </r>
    <r>
      <rPr>
        <b/>
        <sz val="11"/>
        <color theme="1"/>
        <rFont val="Calibri"/>
        <family val="2"/>
        <scheme val="minor"/>
      </rPr>
      <t>checkupp-mobile/components/screening/SpecificConditionsTriggerCard.tsx</t>
    </r>
    <r>
      <rPr>
        <sz val="11"/>
        <color theme="1"/>
        <rFont val="Calibri"/>
        <family val="2"/>
        <scheme val="minor"/>
      </rPr>
      <t xml:space="preserve">, </t>
    </r>
    <r>
      <rPr>
        <b/>
        <sz val="11"/>
        <color theme="1"/>
        <rFont val="Calibri"/>
        <family val="2"/>
        <scheme val="minor"/>
      </rPr>
      <t xml:space="preserve">checkupp-mobile/app/(tabs)/health-screening.tsx
2. Build Trigger Card </t>
    </r>
    <r>
      <rPr>
        <sz val="11"/>
        <color theme="1"/>
        <rFont val="Calibri"/>
        <family val="2"/>
        <scheme val="minor"/>
      </rPr>
      <t xml:space="preserve">(SpecificConditionsTriggerCard.tsx): 
- Create a modular functional React Native component styled with a clean white card border (bg-white rounded-xl border border-gray-100 p-4 mb-4).
- Render button/tab title: "Specific Conditions" in Poppins-SemiBold (font-psemibold).
- Render exact subtext (US 18.1 AC 2): "Uncommon, rare and specific conditions to me" in neutral gray (text-gray-500 font-pregular text-xs).
- Render an add icon (+) indicator on the right side using @expo/vector-icons/Ionicons (add-circle-outline or add icon with primary cyan #00CED1 tint) (US 18.1 AC 3).
- Accept prop: onPress: () =&gt; void. Wrap card in TouchableOpacity with accessible touch target (&gt;= 44px height).
2. </t>
    </r>
    <r>
      <rPr>
        <b/>
        <sz val="11"/>
        <color theme="1"/>
        <rFont val="Calibri"/>
        <family val="2"/>
        <scheme val="minor"/>
      </rPr>
      <t>Integrate into Screen</t>
    </r>
    <r>
      <rPr>
        <sz val="11"/>
        <color theme="1"/>
        <rFont val="Calibri"/>
        <family val="2"/>
        <scheme val="minor"/>
      </rPr>
      <t xml:space="preserve"> (health-screening.tsx):
- Import SpecificConditionsTriggerCard.
- Render it at the top of the "Available Health Checks" list when the "Health Checks" top tab is active.
- Attach onPress={() =&gt; setIsAddModalVisible(true)} to open the bottom sheet created.</t>
    </r>
  </si>
  <si>
    <r>
      <rPr>
        <b/>
        <sz val="11"/>
        <color theme="1"/>
        <rFont val="Calibri"/>
        <family val="2"/>
        <scheme val="minor"/>
      </rPr>
      <t>Build AddSpecificConditionModal.tsx Bottom Sheet Form with Dynamic Conditional Fields &amp; Validation</t>
    </r>
    <r>
      <rPr>
        <sz val="11"/>
        <color theme="1"/>
        <rFont val="Calibri"/>
        <family val="2"/>
        <scheme val="minor"/>
      </rPr>
      <t xml:space="preserve">
1. Create </t>
    </r>
    <r>
      <rPr>
        <b/>
        <sz val="11"/>
        <color theme="1"/>
        <rFont val="Calibri"/>
        <family val="2"/>
        <scheme val="minor"/>
      </rPr>
      <t>checkupp-mobile/components/screening/AddSpecificConditionModal.tsx</t>
    </r>
    <r>
      <rPr>
        <sz val="11"/>
        <color theme="1"/>
        <rFont val="Calibri"/>
        <family val="2"/>
        <scheme val="minor"/>
      </rPr>
      <t xml:space="preserve">
2. Modal Scaffold:
- Extend </t>
    </r>
    <r>
      <rPr>
        <b/>
        <sz val="11"/>
        <color theme="1"/>
        <rFont val="Calibri"/>
        <family val="2"/>
        <scheme val="minor"/>
      </rPr>
      <t>BaseModal.tsx</t>
    </r>
    <r>
      <rPr>
        <sz val="11"/>
        <color theme="1"/>
        <rFont val="Calibri"/>
        <family val="2"/>
        <scheme val="minor"/>
      </rPr>
      <t xml:space="preserve"> (checkupp-mobile/components/screening/shared/modals/BaseModal.tsx) configured as a bottom sheet.
- Title: "</t>
    </r>
    <r>
      <rPr>
        <b/>
        <sz val="11"/>
        <color theme="1"/>
        <rFont val="Calibri"/>
        <family val="2"/>
        <scheme val="minor"/>
      </rPr>
      <t>Add Specific Condition</t>
    </r>
    <r>
      <rPr>
        <sz val="11"/>
        <color theme="1"/>
        <rFont val="Calibri"/>
        <family val="2"/>
        <scheme val="minor"/>
      </rPr>
      <t xml:space="preserve">".
3. </t>
    </r>
    <r>
      <rPr>
        <b/>
        <sz val="11"/>
        <color theme="1"/>
        <rFont val="Calibri"/>
        <family val="2"/>
        <scheme val="minor"/>
      </rPr>
      <t>Form State &amp; Essential Inputs</t>
    </r>
    <r>
      <rPr>
        <sz val="11"/>
        <color theme="1"/>
        <rFont val="Calibri"/>
        <family val="2"/>
        <scheme val="minor"/>
      </rPr>
      <t xml:space="preserve"> (US 18.2 AC 1–4):
- </t>
    </r>
    <r>
      <rPr>
        <b/>
        <sz val="11"/>
        <color theme="1"/>
        <rFont val="Calibri"/>
        <family val="2"/>
        <scheme val="minor"/>
      </rPr>
      <t>Condition or Diagnosis</t>
    </r>
    <r>
      <rPr>
        <sz val="11"/>
        <color theme="1"/>
        <rFont val="Calibri"/>
        <family val="2"/>
        <scheme val="minor"/>
      </rPr>
      <t xml:space="preserve">: Free-text input (InputField.tsx).
- </t>
    </r>
    <r>
      <rPr>
        <b/>
        <sz val="11"/>
        <color theme="1"/>
        <rFont val="Calibri"/>
        <family val="2"/>
        <scheme val="minor"/>
      </rPr>
      <t>Monitoring Type</t>
    </r>
    <r>
      <rPr>
        <sz val="11"/>
        <color theme="1"/>
        <rFont val="Calibri"/>
        <family val="2"/>
        <scheme val="minor"/>
      </rPr>
      <t xml:space="preserve">: Dropdown selector (Picker.tsx) with options: "Blood test", "Imaging/ Radiology", "Doctor Review", "Endoscopy", "Other...".
- </t>
    </r>
    <r>
      <rPr>
        <b/>
        <sz val="11"/>
        <color theme="1"/>
        <rFont val="Calibri"/>
        <family val="2"/>
        <scheme val="minor"/>
      </rPr>
      <t>How Often?</t>
    </r>
    <r>
      <rPr>
        <sz val="11"/>
        <color theme="1"/>
        <rFont val="Calibri"/>
        <family val="2"/>
        <scheme val="minor"/>
      </rPr>
      <t xml:space="preserve">: Multi-choice selectable chips ("Monthly", "Every 3 Months", "Every 6 Months", "Annually", "Custom...").
- </t>
    </r>
    <r>
      <rPr>
        <b/>
        <sz val="11"/>
        <color theme="1"/>
        <rFont val="Calibri"/>
        <family val="2"/>
        <scheme val="minor"/>
      </rPr>
      <t>Doctor or Care Provider</t>
    </r>
    <r>
      <rPr>
        <sz val="11"/>
        <color theme="1"/>
        <rFont val="Calibri"/>
        <family val="2"/>
        <scheme val="minor"/>
      </rPr>
      <t xml:space="preserve">: Free-text input (InputField.tsx).
4. </t>
    </r>
    <r>
      <rPr>
        <b/>
        <sz val="11"/>
        <color theme="1"/>
        <rFont val="Calibri"/>
        <family val="2"/>
        <scheme val="minor"/>
      </rPr>
      <t>Conditional Dynamic UI Rendering</t>
    </r>
    <r>
      <rPr>
        <sz val="11"/>
        <color theme="1"/>
        <rFont val="Calibri"/>
        <family val="2"/>
        <scheme val="minor"/>
      </rPr>
      <t xml:space="preserve"> (US 18.2 AC 7, 8):
- When monitoringType === 'Other...': Render an additional free-text field labeled "Specify Monitoring Type".
- When frequencyType === 'Custom...': Render:
a. An engraved numeric stepper control (InputField.tsx with up/down chevrons chevron-up and chevron-down incrementing/decrementing customInterval by 1, minimum 1).
b. A secondary dropdown (Picker.tsx) with options: "Days", "Months", "Years".
5. </t>
    </r>
    <r>
      <rPr>
        <b/>
        <sz val="11"/>
        <color theme="1"/>
        <rFont val="Calibri"/>
        <family val="2"/>
        <scheme val="minor"/>
      </rPr>
      <t>Strict Mandatory Field Validation</t>
    </r>
    <r>
      <rPr>
        <sz val="11"/>
        <color theme="1"/>
        <rFont val="Calibri"/>
        <family val="2"/>
        <scheme val="minor"/>
      </rPr>
      <t xml:space="preserve"> (US 18.2 AC 10):
- Compute isFormValid: true only when condition name, monitoring type (plus custom specification if "Other..."), frequency (plus numeric interval/unit if "Custom..."), and doctor provider are all non-empty.
- Keep the primary "Save" button visually disabled (opacity-50) and untappable (disabled={!isFormValid}) until validation passes.
- When clicked, trigger callback onSave(formData) to open the confirmation modal.</t>
    </r>
  </si>
  <si>
    <r>
      <rPr>
        <b/>
        <sz val="11"/>
        <color theme="1"/>
        <rFont val="Calibri"/>
        <family val="2"/>
        <scheme val="minor"/>
      </rPr>
      <t xml:space="preserve">Automated Jest Test Suite for Specific Conditions Trigger, Conditional Form Inputs, Modals &amp; Outcome Badges
</t>
    </r>
    <r>
      <rPr>
        <sz val="11"/>
        <color theme="1"/>
        <rFont val="Calibri"/>
        <family val="2"/>
        <scheme val="minor"/>
      </rPr>
      <t xml:space="preserve">1. Create </t>
    </r>
    <r>
      <rPr>
        <b/>
        <sz val="11"/>
        <color theme="1"/>
        <rFont val="Calibri"/>
        <family val="2"/>
        <scheme val="minor"/>
      </rPr>
      <t xml:space="preserve">checkupp-mobile/tests/screenings/specificConditionsLifecycle.test.js
</t>
    </r>
    <r>
      <rPr>
        <sz val="11"/>
        <color theme="1"/>
        <rFont val="Calibri"/>
        <family val="2"/>
        <scheme val="minor"/>
      </rPr>
      <t xml:space="preserve">2. Configure Jest + </t>
    </r>
    <r>
      <rPr>
        <b/>
        <sz val="11"/>
        <color theme="1"/>
        <rFont val="Calibri"/>
        <family val="2"/>
        <scheme val="minor"/>
      </rPr>
      <t>@testing-library/react-native</t>
    </r>
    <r>
      <rPr>
        <sz val="11"/>
        <color theme="1"/>
        <rFont val="Calibri"/>
        <family val="2"/>
        <scheme val="minor"/>
      </rPr>
      <t xml:space="preserve"> with mocked Expo Router and TanStack Query.
3. </t>
    </r>
    <r>
      <rPr>
        <b/>
        <sz val="11"/>
        <color theme="1"/>
        <rFont val="Calibri"/>
        <family val="2"/>
        <scheme val="minor"/>
      </rPr>
      <t>Test Case 1</t>
    </r>
    <r>
      <rPr>
        <sz val="11"/>
        <color theme="1"/>
        <rFont val="Calibri"/>
        <family val="2"/>
        <scheme val="minor"/>
      </rPr>
      <t xml:space="preserve"> (Trigger Card &amp; Subtext - US 18.1):Assert "Specific Conditions" card renders exact subtext "Uncommon, rare and specific conditions to me" and + icon.
3. </t>
    </r>
    <r>
      <rPr>
        <b/>
        <sz val="11"/>
        <color theme="1"/>
        <rFont val="Calibri"/>
        <family val="2"/>
        <scheme val="minor"/>
      </rPr>
      <t>Test Case 2</t>
    </r>
    <r>
      <rPr>
        <sz val="11"/>
        <color theme="1"/>
        <rFont val="Calibri"/>
        <family val="2"/>
        <scheme val="minor"/>
      </rPr>
      <t xml:space="preserve"> (Conditional Form Inputs &amp; Validation - US 18.2):Open bottom sheet. Select "Other..." monitoring -&gt; verify free-text specification field appears.Select "Custom..." frequency -&gt; verify numeric stepper chevrons and unit dropdown appear.Assert "Save" button is disabled until all required fields contain text.
4. </t>
    </r>
    <r>
      <rPr>
        <b/>
        <sz val="11"/>
        <color theme="1"/>
        <rFont val="Calibri"/>
        <family val="2"/>
        <scheme val="minor"/>
      </rPr>
      <t>Test Case 3</t>
    </r>
    <r>
      <rPr>
        <sz val="11"/>
        <color theme="1"/>
        <rFont val="Calibri"/>
        <family val="2"/>
        <scheme val="minor"/>
      </rPr>
      <t xml:space="preserve"> (Summary Confirmation &amp; Back to Editing - US 18.3):Fill valid form and click Save. Verify summary modal displays matching data.Click "Back to Editing" -&gt; assert summary modal closes and bottom sheet form inputs retain typed text.
5. </t>
    </r>
    <r>
      <rPr>
        <b/>
        <sz val="11"/>
        <color theme="1"/>
        <rFont val="Calibri"/>
        <family val="2"/>
        <scheme val="minor"/>
      </rPr>
      <t>Test Case 4</t>
    </r>
    <r>
      <rPr>
        <sz val="11"/>
        <color theme="1"/>
        <rFont val="Calibri"/>
        <family val="2"/>
        <scheme val="minor"/>
      </rPr>
      <t xml:space="preserve"> (Card Styling &amp; Green Outcome Pill Badge - US 18.4, 18.5):Render CustomConditionCard with mock latestRecordDate: "2026-08-02T00:00:00.000Z".Assert green pill badge is rendered with exact text "Last: 02 Aug 2026" and #15803D green text class.
6. </t>
    </r>
    <r>
      <rPr>
        <b/>
        <sz val="11"/>
        <color theme="1"/>
        <rFont val="Calibri"/>
        <family val="2"/>
        <scheme val="minor"/>
      </rPr>
      <t>Test Case 5</t>
    </r>
    <r>
      <rPr>
        <sz val="11"/>
        <color theme="1"/>
        <rFont val="Calibri"/>
        <family val="2"/>
        <scheme val="minor"/>
      </rPr>
      <t xml:space="preserve"> (Decision Modal &amp; Booking Navigation - US 18.4):Simulate tap on custom condition card -&gt; assert "Have you had this screening?" decision modal opens.Click "No" -&gt;assert appointment booking flow is invoked. Click "Yes" -&gt; assert LogSpecificConditionModal is invoked.</t>
    </r>
  </si>
  <si>
    <t>18.4, 18.5</t>
  </si>
  <si>
    <r>
      <rPr>
        <b/>
        <sz val="11"/>
        <color theme="1"/>
        <rFont val="Calibri"/>
        <family val="2"/>
        <scheme val="minor"/>
      </rPr>
      <t>Build ConfirmSpecificConditionModal.tsx Summary Dialog &amp; Connect TanStack Query Submission Mutation</t>
    </r>
    <r>
      <rPr>
        <sz val="11"/>
        <color theme="1"/>
        <rFont val="Calibri"/>
        <family val="2"/>
        <scheme val="minor"/>
      </rPr>
      <t xml:space="preserve">
1. Create </t>
    </r>
    <r>
      <rPr>
        <b/>
        <sz val="11"/>
        <color theme="1"/>
        <rFont val="Calibri"/>
        <family val="2"/>
        <scheme val="minor"/>
      </rPr>
      <t>checkupp-mobile/components/screening/ConfirmSpecificConditionModal.tsx</t>
    </r>
    <r>
      <rPr>
        <sz val="11"/>
        <color theme="1"/>
        <rFont val="Calibri"/>
        <family val="2"/>
        <scheme val="minor"/>
      </rPr>
      <t xml:space="preserve">, Modify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TanStack Query Mutation</t>
    </r>
    <r>
      <rPr>
        <sz val="11"/>
        <color theme="1"/>
        <rFont val="Calibri"/>
        <family val="2"/>
        <scheme val="minor"/>
      </rPr>
      <t xml:space="preserve"> (mutations.ts):
- Implement useCreateCustomConditionMutation() calling apiClient.post('/me/screenings/custom-conditions', payload).
- On success, invalidate query key ['screenings', 'custom-conditions'] and ['screenings', 'overview'].
3. </t>
    </r>
    <r>
      <rPr>
        <b/>
        <sz val="11"/>
        <color theme="1"/>
        <rFont val="Calibri"/>
        <family val="2"/>
        <scheme val="minor"/>
      </rPr>
      <t>Build Confirmation Modal</t>
    </r>
    <r>
      <rPr>
        <sz val="11"/>
        <color theme="1"/>
        <rFont val="Calibri"/>
        <family val="2"/>
        <scheme val="minor"/>
      </rPr>
      <t xml:space="preserve"> (ConfirmSpecificConditionModal.tsx):
- Render a centered popup modal displaying a clear summary of all entered fields: Condition Name, Monitoring Type, Frequency, and Care Provider.
- Render two accessible CTA buttons (US 18.3 AC 3–5):
a. </t>
    </r>
    <r>
      <rPr>
        <b/>
        <sz val="11"/>
        <color theme="1"/>
        <rFont val="Calibri"/>
        <family val="2"/>
        <scheme val="minor"/>
      </rPr>
      <t>Primary</t>
    </r>
    <r>
      <rPr>
        <sz val="11"/>
        <color theme="1"/>
        <rFont val="Calibri"/>
        <family val="2"/>
        <scheme val="minor"/>
      </rPr>
      <t xml:space="preserve"> Button: "Submit" (solid #00CED1 background). Clicking triggers mutate(formData). On success, close both the summary modal and bottom sheet, adding the new card to the list.
b. </t>
    </r>
    <r>
      <rPr>
        <b/>
        <sz val="11"/>
        <color theme="1"/>
        <rFont val="Calibri"/>
        <family val="2"/>
        <scheme val="minor"/>
      </rPr>
      <t>Secondary</t>
    </r>
    <r>
      <rPr>
        <sz val="11"/>
        <color theme="1"/>
        <rFont val="Calibri"/>
        <family val="2"/>
        <scheme val="minor"/>
      </rPr>
      <t xml:space="preserve"> Button: "Back to Editing" (outlined button). Clicking closes ConfirmSpecificConditionModal while keeping AddSpecificConditionModal open with all form state preserved intact.</t>
    </r>
  </si>
  <si>
    <t>Needs Review</t>
  </si>
  <si>
    <t>Date</t>
  </si>
  <si>
    <t>View Upcoming Screenings</t>
  </si>
  <si>
    <r>
      <rPr>
        <b/>
        <sz val="11"/>
        <color theme="1"/>
        <rFont val="Calibri"/>
        <family val="2"/>
        <scheme val="minor"/>
      </rPr>
      <t>Integrate "Have you had this screening?" Decision Modal &amp; Routing to Existing Forms/Booking Modal (DO THIS LIKE IT IS DONE IN OTHER EXISTING SCREENINGS)</t>
    </r>
    <r>
      <rPr>
        <sz val="11"/>
        <color theme="1"/>
        <rFont val="Calibri"/>
        <family val="2"/>
        <scheme val="minor"/>
      </rPr>
      <t xml:space="preserve">
1. Create </t>
    </r>
    <r>
      <rPr>
        <b/>
        <sz val="11"/>
        <color theme="1"/>
        <rFont val="Calibri"/>
        <family val="2"/>
        <scheme val="minor"/>
      </rPr>
      <t>checkupp-mobile/components/screening/ScreeningDecisionModal.tsx and checkupp-mobile/app/health-overview/index.tsx</t>
    </r>
    <r>
      <rPr>
        <sz val="11"/>
        <color theme="1"/>
        <rFont val="Calibri"/>
        <family val="2"/>
        <scheme val="minor"/>
      </rPr>
      <t xml:space="preserve">
2. </t>
    </r>
    <r>
      <rPr>
        <b/>
        <sz val="11"/>
        <color theme="1"/>
        <rFont val="Calibri"/>
        <family val="2"/>
        <scheme val="minor"/>
      </rPr>
      <t>Build Decision Modal</t>
    </r>
    <r>
      <rPr>
        <sz val="11"/>
        <color theme="1"/>
        <rFont val="Calibri"/>
        <family val="2"/>
        <scheme val="minor"/>
      </rPr>
      <t xml:space="preserve"> (ScreeningDecisionModal.tsx):
- Extend </t>
    </r>
    <r>
      <rPr>
        <b/>
        <sz val="11"/>
        <color theme="1"/>
        <rFont val="Calibri"/>
        <family val="2"/>
        <scheme val="minor"/>
      </rPr>
      <t>BaseModal.tsx</t>
    </r>
    <r>
      <rPr>
        <sz val="11"/>
        <color theme="1"/>
        <rFont val="Calibri"/>
        <family val="2"/>
        <scheme val="minor"/>
      </rPr>
      <t xml:space="preserve"> (</t>
    </r>
    <r>
      <rPr>
        <b/>
        <sz val="11"/>
        <color theme="1"/>
        <rFont val="Calibri"/>
        <family val="2"/>
        <scheme val="minor"/>
      </rPr>
      <t>checkupp-mobile/components/screening/shared/modals/BaseModal.tsx</t>
    </r>
    <r>
      <rPr>
        <sz val="11"/>
        <color theme="1"/>
        <rFont val="Calibri"/>
        <family val="2"/>
        <scheme val="minor"/>
      </rPr>
      <t xml:space="preserve">).
- Props: </t>
    </r>
    <r>
      <rPr>
        <b/>
        <sz val="11"/>
        <color theme="1"/>
        <rFont val="Calibri"/>
        <family val="2"/>
        <scheme val="minor"/>
      </rPr>
      <t>visible: boolean</t>
    </r>
    <r>
      <rPr>
        <sz val="11"/>
        <color theme="1"/>
        <rFont val="Calibri"/>
        <family val="2"/>
        <scheme val="minor"/>
      </rPr>
      <t xml:space="preserve">, </t>
    </r>
    <r>
      <rPr>
        <b/>
        <sz val="11"/>
        <color theme="1"/>
        <rFont val="Calibri"/>
        <family val="2"/>
        <scheme val="minor"/>
      </rPr>
      <t>item: ScreeningOverviewItem | null</t>
    </r>
    <r>
      <rPr>
        <sz val="11"/>
        <color theme="1"/>
        <rFont val="Calibri"/>
        <family val="2"/>
        <scheme val="minor"/>
      </rPr>
      <t xml:space="preserve">, </t>
    </r>
    <r>
      <rPr>
        <b/>
        <sz val="11"/>
        <color theme="1"/>
        <rFont val="Calibri"/>
        <family val="2"/>
        <scheme val="minor"/>
      </rPr>
      <t>onClose: () =&gt; void</t>
    </r>
    <r>
      <rPr>
        <sz val="11"/>
        <color theme="1"/>
        <rFont val="Calibri"/>
        <family val="2"/>
        <scheme val="minor"/>
      </rPr>
      <t xml:space="preserve">, </t>
    </r>
    <r>
      <rPr>
        <b/>
        <sz val="11"/>
        <color theme="1"/>
        <rFont val="Calibri"/>
        <family val="2"/>
        <scheme val="minor"/>
      </rPr>
      <t>onSelectYes: () =&gt; void</t>
    </r>
    <r>
      <rPr>
        <sz val="11"/>
        <color theme="1"/>
        <rFont val="Calibri"/>
        <family val="2"/>
        <scheme val="minor"/>
      </rPr>
      <t xml:space="preserve">, </t>
    </r>
    <r>
      <rPr>
        <b/>
        <sz val="11"/>
        <color theme="1"/>
        <rFont val="Calibri"/>
        <family val="2"/>
        <scheme val="minor"/>
      </rPr>
      <t>onSelectNo: () =&gt; void.</t>
    </r>
    <r>
      <rPr>
        <sz val="11"/>
        <color theme="1"/>
        <rFont val="Calibri"/>
        <family val="2"/>
        <scheme val="minor"/>
      </rPr>
      <t xml:space="preserve">
- Display the screening name (</t>
    </r>
    <r>
      <rPr>
        <b/>
        <sz val="11"/>
        <color theme="1"/>
        <rFont val="Calibri"/>
        <family val="2"/>
        <scheme val="minor"/>
      </rPr>
      <t>item?.name</t>
    </r>
    <r>
      <rPr>
        <sz val="11"/>
        <color theme="1"/>
        <rFont val="Calibri"/>
        <family val="2"/>
        <scheme val="minor"/>
      </rPr>
      <t>) as header subtitle.
- Render prompt string exactly: "</t>
    </r>
    <r>
      <rPr>
        <b/>
        <sz val="11"/>
        <color theme="1"/>
        <rFont val="Calibri"/>
        <family val="2"/>
        <scheme val="minor"/>
      </rPr>
      <t>Have you had this screening?</t>
    </r>
    <r>
      <rPr>
        <sz val="11"/>
        <color theme="1"/>
        <rFont val="Calibri"/>
        <family val="2"/>
        <scheme val="minor"/>
      </rPr>
      <t>" (US 1.5 AC 2).
- Render two accessible CTA buttons: "</t>
    </r>
    <r>
      <rPr>
        <b/>
        <sz val="11"/>
        <color theme="1"/>
        <rFont val="Calibri"/>
        <family val="2"/>
        <scheme val="minor"/>
      </rPr>
      <t>Yes</t>
    </r>
    <r>
      <rPr>
        <sz val="11"/>
        <color theme="1"/>
        <rFont val="Calibri"/>
        <family val="2"/>
        <scheme val="minor"/>
      </rPr>
      <t>" (Primary #00CED1) and "</t>
    </r>
    <r>
      <rPr>
        <b/>
        <sz val="11"/>
        <color theme="1"/>
        <rFont val="Calibri"/>
        <family val="2"/>
        <scheme val="minor"/>
      </rPr>
      <t>No</t>
    </r>
    <r>
      <rPr>
        <sz val="11"/>
        <color theme="1"/>
        <rFont val="Calibri"/>
        <family val="2"/>
        <scheme val="minor"/>
      </rPr>
      <t xml:space="preserve">" (Secondary outline).
3. </t>
    </r>
    <r>
      <rPr>
        <b/>
        <sz val="11"/>
        <color theme="1"/>
        <rFont val="Calibri"/>
        <family val="2"/>
        <scheme val="minor"/>
      </rPr>
      <t>Connect Routing &amp; Actions</t>
    </r>
    <r>
      <rPr>
        <sz val="11"/>
        <color theme="1"/>
        <rFont val="Calibri"/>
        <family val="2"/>
        <scheme val="minor"/>
      </rPr>
      <t xml:space="preserve">:
- In </t>
    </r>
    <r>
      <rPr>
        <b/>
        <sz val="11"/>
        <color theme="1"/>
        <rFont val="Calibri"/>
        <family val="2"/>
        <scheme val="minor"/>
      </rPr>
      <t>checkupp-mobile/app/health-overview/index.tsx</t>
    </r>
    <r>
      <rPr>
        <sz val="11"/>
        <color theme="1"/>
        <rFont val="Calibri"/>
        <family val="2"/>
        <scheme val="minor"/>
      </rPr>
      <t xml:space="preserve">, when a card is pressed, set </t>
    </r>
    <r>
      <rPr>
        <b/>
        <sz val="11"/>
        <color theme="1"/>
        <rFont val="Calibri"/>
        <family val="2"/>
        <scheme val="minor"/>
      </rPr>
      <t>selectedItem</t>
    </r>
    <r>
      <rPr>
        <sz val="11"/>
        <color theme="1"/>
        <rFont val="Calibri"/>
        <family val="2"/>
        <scheme val="minor"/>
      </rPr>
      <t xml:space="preserve"> and open </t>
    </r>
    <r>
      <rPr>
        <b/>
        <sz val="11"/>
        <color theme="1"/>
        <rFont val="Calibri"/>
        <family val="2"/>
        <scheme val="minor"/>
      </rPr>
      <t>ScreeningDecisionModal</t>
    </r>
    <r>
      <rPr>
        <sz val="11"/>
        <color theme="1"/>
        <rFont val="Calibri"/>
        <family val="2"/>
        <scheme val="minor"/>
      </rPr>
      <t>.
- On "</t>
    </r>
    <r>
      <rPr>
        <b/>
        <sz val="11"/>
        <color theme="1"/>
        <rFont val="Calibri"/>
        <family val="2"/>
        <scheme val="minor"/>
      </rPr>
      <t>Yes</t>
    </r>
    <r>
      <rPr>
        <sz val="11"/>
        <color theme="1"/>
        <rFont val="Calibri"/>
        <family val="2"/>
        <scheme val="minor"/>
      </rPr>
      <t xml:space="preserve">" tap (US 1.5 AC 4):
a. Dismiss modal and route to the existing data entry form: </t>
    </r>
    <r>
      <rPr>
        <b/>
        <sz val="11"/>
        <color theme="1"/>
        <rFont val="Calibri"/>
        <family val="2"/>
        <scheme val="minor"/>
      </rPr>
      <t>router.push({ pathname: '/(tabs)/health-screening', params: { openFormFor: selectedItem.id, type: selectedItem.screeningType } })</t>
    </r>
    <r>
      <rPr>
        <sz val="11"/>
        <color theme="1"/>
        <rFont val="Calibri"/>
        <family val="2"/>
        <scheme val="minor"/>
      </rPr>
      <t>.
b. Upon successful form submission, TanStack Query invalidation (</t>
    </r>
    <r>
      <rPr>
        <b/>
        <sz val="11"/>
        <color theme="1"/>
        <rFont val="Calibri"/>
        <family val="2"/>
        <scheme val="minor"/>
      </rPr>
      <t>queryClient.invalidateQueries({ queryKey: ['screenings', 'overview'] })</t>
    </r>
    <r>
      <rPr>
        <sz val="11"/>
        <color theme="1"/>
        <rFont val="Calibri"/>
        <family val="2"/>
        <scheme val="minor"/>
      </rPr>
      <t xml:space="preserve">) ensures the card immediately transitions to </t>
    </r>
    <r>
      <rPr>
        <b/>
        <sz val="11"/>
        <color theme="1"/>
        <rFont val="Calibri"/>
        <family val="2"/>
        <scheme val="minor"/>
      </rPr>
      <t>Completed</t>
    </r>
    <r>
      <rPr>
        <sz val="11"/>
        <color theme="1"/>
        <rFont val="Calibri"/>
        <family val="2"/>
        <scheme val="minor"/>
      </rPr>
      <t xml:space="preserve"> and tab count badges update (US 1.6).
- On "</t>
    </r>
    <r>
      <rPr>
        <b/>
        <sz val="11"/>
        <color theme="1"/>
        <rFont val="Calibri"/>
        <family val="2"/>
        <scheme val="minor"/>
      </rPr>
      <t>No</t>
    </r>
    <r>
      <rPr>
        <sz val="11"/>
        <color theme="1"/>
        <rFont val="Calibri"/>
        <family val="2"/>
        <scheme val="minor"/>
      </rPr>
      <t>" tap (US 1.5 AC 5):
Dismiss modal and open the existing appointment booking modal (</t>
    </r>
    <r>
      <rPr>
        <b/>
        <sz val="11"/>
        <color theme="1"/>
        <rFont val="Calibri"/>
        <family val="2"/>
        <scheme val="minor"/>
      </rPr>
      <t>bookingFlow.ts</t>
    </r>
    <r>
      <rPr>
        <sz val="11"/>
        <color theme="1"/>
        <rFont val="Calibri"/>
        <family val="2"/>
        <scheme val="minor"/>
      </rPr>
      <t xml:space="preserve"> / appointment booking modal component).</t>
    </r>
  </si>
  <si>
    <r>
      <rPr>
        <b/>
        <sz val="11"/>
        <color theme="1"/>
        <rFont val="Calibri"/>
        <family val="2"/>
        <scheme val="minor"/>
      </rPr>
      <t>Build Reusable CustomConditionCard.tsx Component with Distinctive Styling &amp; Green "Last: [Date]" Pill Badge (DO THIS LIKE IT IS DONE IN OTHER EXISTING SCREENINGS)</t>
    </r>
    <r>
      <rPr>
        <sz val="11"/>
        <color theme="1"/>
        <rFont val="Calibri"/>
        <family val="2"/>
        <scheme val="minor"/>
      </rPr>
      <t xml:space="preserve">
1. Create </t>
    </r>
    <r>
      <rPr>
        <b/>
        <sz val="11"/>
        <color theme="1"/>
        <rFont val="Calibri"/>
        <family val="2"/>
        <scheme val="minor"/>
      </rPr>
      <t>checkupp-mobile/components/screening/CustomConditionCard.tsx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CustomConditionCardProps {
  item: CustomConditionItem;
  onPress: (item: CustomConditionItem) =&gt; void;
}
3. </t>
    </r>
    <r>
      <rPr>
        <b/>
        <sz val="11"/>
        <color theme="1"/>
        <rFont val="Calibri"/>
        <family val="2"/>
        <scheme val="minor"/>
      </rPr>
      <t>Distinctive Custom Styling</t>
    </r>
    <r>
      <rPr>
        <sz val="11"/>
        <color theme="1"/>
        <rFont val="Calibri"/>
        <family val="2"/>
        <scheme val="minor"/>
      </rPr>
      <t xml:space="preserve"> (US 18.4 AC 1, 2, 3):
- Apply visual distinction from default system screenings while keeping structural layout identical: use a subtle teal/cyan border accent (border-l-4 border-l-[#00CED1] bg-white rounded-xl border border-gray-100 p-4 mb-3).
- Display condition Name (item.conditionName) in Poppins-Medium and frequency (item.frequencyType, formatting custom interval if applicable, e.g., "Every 45 Days") as subtitle.
- Display chevron-forward icon from @expo/vector-icons/Ionicons on the far right.
4.  </t>
    </r>
    <r>
      <rPr>
        <b/>
        <sz val="11"/>
        <color theme="1"/>
        <rFont val="Calibri"/>
        <family val="2"/>
        <scheme val="minor"/>
      </rPr>
      <t>Green Outcome Pill Badge Support</t>
    </r>
    <r>
      <rPr>
        <sz val="11"/>
        <color theme="1"/>
        <rFont val="Calibri"/>
        <family val="2"/>
        <scheme val="minor"/>
      </rPr>
      <t xml:space="preserve"> (US 18.5 AC 6):
- If item.latestRecordDate exists, render a soft green pill badge in the top-right corner of the card:
a. Background #DCFCE7 (bg-green-100), text #15803D (text-green-800 text-xs font-psemibold px-2.5 py-1 rounded-full).
b. Format string exactly as mandated: "Last: [Today's Logging Date]" (e.g., format(new Date(item.latestRecordDate), "'Last:' dd MMM yyyy")).</t>
    </r>
  </si>
  <si>
    <r>
      <rPr>
        <b/>
        <sz val="11"/>
        <color theme="1"/>
        <rFont val="Calibri"/>
        <family val="2"/>
        <scheme val="minor"/>
      </rPr>
      <t>Integrate Custom Condition List Rendering &amp; Wire Existing Decision Modal ("Have you had this screening?") (DO THIS LIKE IT IS DONE IN OTHER EXISTING SCREENINGS)</t>
    </r>
    <r>
      <rPr>
        <sz val="11"/>
        <color theme="1"/>
        <rFont val="Calibri"/>
        <family val="2"/>
        <scheme val="minor"/>
      </rPr>
      <t xml:space="preserve">
1. Modify </t>
    </r>
    <r>
      <rPr>
        <b/>
        <sz val="11"/>
        <color theme="1"/>
        <rFont val="Calibri"/>
        <family val="2"/>
        <scheme val="minor"/>
      </rPr>
      <t>checkupp-mobile/app/(tabs)/health-screening.tsx</t>
    </r>
    <r>
      <rPr>
        <sz val="11"/>
        <color theme="1"/>
        <rFont val="Calibri"/>
        <family val="2"/>
        <scheme val="minor"/>
      </rPr>
      <t xml:space="preserve">, </t>
    </r>
    <r>
      <rPr>
        <b/>
        <sz val="11"/>
        <color theme="1"/>
        <rFont val="Calibri"/>
        <family val="2"/>
        <scheme val="minor"/>
      </rPr>
      <t>checkupp-mobile/lib/features/screenings/queries.ts
2. Data Query &amp; List Rendering</t>
    </r>
    <r>
      <rPr>
        <sz val="11"/>
        <color theme="1"/>
        <rFont val="Calibri"/>
        <family val="2"/>
        <scheme val="minor"/>
      </rPr>
      <t xml:space="preserve">:
- Implement useCustomConditionsQuery(userId) in queries.ts fetching GET /me/screenings/custom-conditions.
- In health-screening.tsx, merge/render CustomConditionCard components inside the "Available Health Checks" FlatList directly below the trigger card.
3. </t>
    </r>
    <r>
      <rPr>
        <b/>
        <sz val="11"/>
        <color theme="1"/>
        <rFont val="Calibri"/>
        <family val="2"/>
        <scheme val="minor"/>
      </rPr>
      <t>Wire Decision Modal</t>
    </r>
    <r>
      <rPr>
        <sz val="11"/>
        <color theme="1"/>
        <rFont val="Calibri"/>
        <family val="2"/>
        <scheme val="minor"/>
      </rPr>
      <t xml:space="preserve"> (US 18.4 AC 4–7):
- When CustomConditionCard is tapped (onPress), open the app's existing ScreeningDecisionModal ("Have you had this screening?").
- Pass the custom condition name as subtitle.
- On "</t>
    </r>
    <r>
      <rPr>
        <b/>
        <sz val="11"/>
        <color theme="1"/>
        <rFont val="Calibri"/>
        <family val="2"/>
        <scheme val="minor"/>
      </rPr>
      <t>Yes</t>
    </r>
    <r>
      <rPr>
        <sz val="11"/>
        <color theme="1"/>
        <rFont val="Calibri"/>
        <family val="2"/>
        <scheme val="minor"/>
      </rPr>
      <t>" tap (AC 6): Close decision modal and open LogSpecificConditionModal (FE-18.6) passing customConditionId and metadata.
- On "</t>
    </r>
    <r>
      <rPr>
        <b/>
        <sz val="11"/>
        <color theme="1"/>
        <rFont val="Calibri"/>
        <family val="2"/>
        <scheme val="minor"/>
      </rPr>
      <t>No</t>
    </r>
    <r>
      <rPr>
        <sz val="11"/>
        <color theme="1"/>
        <rFont val="Calibri"/>
        <family val="2"/>
        <scheme val="minor"/>
      </rPr>
      <t>" tap (AC 7): Close decision modal and open the app's existing appointment booking modal (bookingFlow.ts).</t>
    </r>
  </si>
  <si>
    <r>
      <rPr>
        <b/>
        <sz val="11"/>
        <color theme="1"/>
        <rFont val="Calibri"/>
        <family val="2"/>
        <scheme val="minor"/>
      </rPr>
      <t>Build LogSpecificConditionModal.tsx Full-Screen Outcome Form &amp; Wire Save Mutation (DO THIS LIKE IT IS DONE IN OTHER EXISTING SCREENINGS FORMS)</t>
    </r>
    <r>
      <rPr>
        <sz val="11"/>
        <color theme="1"/>
        <rFont val="Calibri"/>
        <family val="2"/>
        <scheme val="minor"/>
      </rPr>
      <t xml:space="preserve">
1. Create </t>
    </r>
    <r>
      <rPr>
        <b/>
        <sz val="11"/>
        <color theme="1"/>
        <rFont val="Calibri"/>
        <family val="2"/>
        <scheme val="minor"/>
      </rPr>
      <t>checkupp-mobile/components/screening/LogSpecificConditionModal.tsx</t>
    </r>
    <r>
      <rPr>
        <sz val="11"/>
        <color theme="1"/>
        <rFont val="Calibri"/>
        <family val="2"/>
        <scheme val="minor"/>
      </rPr>
      <t xml:space="preserve">,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Full-Screen Modal Scaffold</t>
    </r>
    <r>
      <rPr>
        <sz val="11"/>
        <color theme="1"/>
        <rFont val="Calibri"/>
        <family val="2"/>
        <scheme val="minor"/>
      </rPr>
      <t xml:space="preserve"> (US 18.5 AC 1):
- Build full-screen modal view with header displaying read-only metadata: condition name, monitoring type, frequency, and care provider.
3. </t>
    </r>
    <r>
      <rPr>
        <b/>
        <sz val="11"/>
        <color theme="1"/>
        <rFont val="Calibri"/>
        <family val="2"/>
        <scheme val="minor"/>
      </rPr>
      <t>Form Input Components</t>
    </r>
    <r>
      <rPr>
        <sz val="11"/>
        <color theme="1"/>
        <rFont val="Calibri"/>
        <family val="2"/>
        <scheme val="minor"/>
      </rPr>
      <t xml:space="preserve"> (US 18.5 AC 2, 3, 4):
- Date of Check: Use DatePickerInput.tsx defaulting to current system date (new Date()). Allow user selection up to current date.
- Outcome or Clinical Notes: Spacious multi-line free-text area (InputField.tsx with multiline={true} and numberOfLines={4}).
4. </t>
    </r>
    <r>
      <rPr>
        <b/>
        <sz val="11"/>
        <color theme="1"/>
        <rFont val="Calibri"/>
        <family val="2"/>
        <scheme val="minor"/>
      </rPr>
      <t>CTA Buttons &amp; Workflow</t>
    </r>
    <r>
      <rPr>
        <sz val="11"/>
        <color theme="1"/>
        <rFont val="Calibri"/>
        <family val="2"/>
        <scheme val="minor"/>
      </rPr>
      <t xml:space="preserve"> (US 18.5 AC 4, 5, 6):
- </t>
    </r>
    <r>
      <rPr>
        <b/>
        <sz val="11"/>
        <color theme="1"/>
        <rFont val="Calibri"/>
        <family val="2"/>
        <scheme val="minor"/>
      </rPr>
      <t>Sticky footer</t>
    </r>
    <r>
      <rPr>
        <sz val="11"/>
        <color theme="1"/>
        <rFont val="Calibri"/>
        <family val="2"/>
        <scheme val="minor"/>
      </rPr>
      <t xml:space="preserve"> with two buttons:
a. </t>
    </r>
    <r>
      <rPr>
        <b/>
        <sz val="11"/>
        <color theme="1"/>
        <rFont val="Calibri"/>
        <family val="2"/>
        <scheme val="minor"/>
      </rPr>
      <t>Secondary</t>
    </r>
    <r>
      <rPr>
        <sz val="11"/>
        <color theme="1"/>
        <rFont val="Calibri"/>
        <family val="2"/>
        <scheme val="minor"/>
      </rPr>
      <t xml:space="preserve">: Cancel: Tapping closes modal and returns user to Available Health Checks - Health Checks top tab - Screenings bottom tab with zero data persistence.
b. </t>
    </r>
    <r>
      <rPr>
        <b/>
        <sz val="11"/>
        <color theme="1"/>
        <rFont val="Calibri"/>
        <family val="2"/>
        <scheme val="minor"/>
      </rPr>
      <t>Primary</t>
    </r>
    <r>
      <rPr>
        <sz val="11"/>
        <color theme="1"/>
        <rFont val="Calibri"/>
        <family val="2"/>
        <scheme val="minor"/>
      </rPr>
      <t>: Save: Tapping executes useLogCustomConditionRecordMutation({ customConditionId, checkDate, outcomeNotes }).
- Upon success, invalidate query ['screenings', 'custom-conditions'], close full-screen modal, return user to Health Checks list, and confirm the card now displays the green "Last: [Today's Logging Date]" pill badge.</t>
    </r>
  </si>
  <si>
    <r>
      <rPr>
        <b/>
        <sz val="11"/>
        <color theme="1"/>
        <rFont val="Calibri"/>
        <family val="2"/>
        <scheme val="minor"/>
      </rPr>
      <t>Build Reusable ScreeningOverviewCard.tsx Component with Overdue Red Styling &amp; Tap Handlers</t>
    </r>
    <r>
      <rPr>
        <sz val="11"/>
        <color theme="1"/>
        <rFont val="Calibri"/>
        <family val="2"/>
        <scheme val="minor"/>
      </rPr>
      <t xml:space="preserve">
1. Create </t>
    </r>
    <r>
      <rPr>
        <b/>
        <sz val="11"/>
        <color theme="1"/>
        <rFont val="Calibri"/>
        <family val="2"/>
        <scheme val="minor"/>
      </rPr>
      <t>checkupp-mobile/components/screening/ScreeningOverviewCard.tsx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ScreeningOverviewCardProps {
  item: ScreeningOverviewItem;
  type: 'upcoming' | 'due' | 'completed';
  onPress: (item: ScreeningOverviewItem) =&gt; void;
}
3. </t>
    </r>
    <r>
      <rPr>
        <b/>
        <sz val="11"/>
        <color theme="1"/>
        <rFont val="Calibri"/>
        <family val="2"/>
        <scheme val="minor"/>
      </rPr>
      <t>Card Content</t>
    </r>
    <r>
      <rPr>
        <sz val="11"/>
        <color theme="1"/>
        <rFont val="Calibri"/>
        <family val="2"/>
        <scheme val="minor"/>
      </rPr>
      <t>:
- Render the screening name (</t>
    </r>
    <r>
      <rPr>
        <b/>
        <sz val="11"/>
        <color theme="1"/>
        <rFont val="Calibri"/>
        <family val="2"/>
        <scheme val="minor"/>
      </rPr>
      <t>item.name</t>
    </r>
    <r>
      <rPr>
        <sz val="11"/>
        <color theme="1"/>
        <rFont val="Calibri"/>
        <family val="2"/>
        <scheme val="minor"/>
      </rPr>
      <t xml:space="preserve">) in </t>
    </r>
    <r>
      <rPr>
        <b/>
        <sz val="11"/>
        <color theme="1"/>
        <rFont val="Calibri"/>
        <family val="2"/>
        <scheme val="minor"/>
      </rPr>
      <t>Poppins-Medium</t>
    </r>
    <r>
      <rPr>
        <sz val="11"/>
        <color theme="1"/>
        <rFont val="Calibri"/>
        <family val="2"/>
        <scheme val="minor"/>
      </rPr>
      <t xml:space="preserve"> (</t>
    </r>
    <r>
      <rPr>
        <b/>
        <sz val="11"/>
        <color theme="1"/>
        <rFont val="Calibri"/>
        <family val="2"/>
        <scheme val="minor"/>
      </rPr>
      <t>font-pmedium</t>
    </r>
    <r>
      <rPr>
        <sz val="11"/>
        <color theme="1"/>
        <rFont val="Calibri"/>
        <family val="2"/>
        <scheme val="minor"/>
      </rPr>
      <t xml:space="preserve">).
- Format </t>
    </r>
    <r>
      <rPr>
        <b/>
        <sz val="11"/>
        <color theme="1"/>
        <rFont val="Calibri"/>
        <family val="2"/>
        <scheme val="minor"/>
      </rPr>
      <t>item.date</t>
    </r>
    <r>
      <rPr>
        <sz val="11"/>
        <color theme="1"/>
        <rFont val="Calibri"/>
        <family val="2"/>
        <scheme val="minor"/>
      </rPr>
      <t xml:space="preserve"> using </t>
    </r>
    <r>
      <rPr>
        <b/>
        <sz val="11"/>
        <color theme="1"/>
        <rFont val="Calibri"/>
        <family val="2"/>
        <scheme val="minor"/>
      </rPr>
      <t>date-fns</t>
    </r>
    <r>
      <rPr>
        <sz val="11"/>
        <color theme="1"/>
        <rFont val="Calibri"/>
        <family val="2"/>
        <scheme val="minor"/>
      </rPr>
      <t xml:space="preserve">: </t>
    </r>
    <r>
      <rPr>
        <b/>
        <sz val="11"/>
        <color theme="1"/>
        <rFont val="Calibri"/>
        <family val="2"/>
        <scheme val="minor"/>
      </rPr>
      <t>format(new Date(item.date), "dd MMM yyyy")</t>
    </r>
    <r>
      <rPr>
        <sz val="11"/>
        <color theme="1"/>
        <rFont val="Calibri"/>
        <family val="2"/>
        <scheme val="minor"/>
      </rPr>
      <t xml:space="preserve"> accompanied by a calendar icon </t>
    </r>
    <r>
      <rPr>
        <b/>
        <sz val="11"/>
        <color theme="1"/>
        <rFont val="Calibri"/>
        <family val="2"/>
        <scheme val="minor"/>
      </rPr>
      <t>(@expo/vector-icons/Ionicons calendar-outline</t>
    </r>
    <r>
      <rPr>
        <sz val="11"/>
        <color theme="1"/>
        <rFont val="Calibri"/>
        <family val="2"/>
        <scheme val="minor"/>
      </rPr>
      <t xml:space="preserve">).
- Implement an accessible touch target (&gt;= 44px height) wrapped in </t>
    </r>
    <r>
      <rPr>
        <b/>
        <sz val="11"/>
        <color theme="1"/>
        <rFont val="Calibri"/>
        <family val="2"/>
        <scheme val="minor"/>
      </rPr>
      <t>TouchableOpacity</t>
    </r>
    <r>
      <rPr>
        <sz val="11"/>
        <color theme="1"/>
        <rFont val="Calibri"/>
        <family val="2"/>
        <scheme val="minor"/>
      </rPr>
      <t xml:space="preserve">.
4. </t>
    </r>
    <r>
      <rPr>
        <b/>
        <sz val="11"/>
        <color theme="1"/>
        <rFont val="Calibri"/>
        <family val="2"/>
        <scheme val="minor"/>
      </rPr>
      <t>Overdue Highlight Styling (US 1.3 AC 2)</t>
    </r>
    <r>
      <rPr>
        <sz val="11"/>
        <color theme="1"/>
        <rFont val="Calibri"/>
        <family val="2"/>
        <scheme val="minor"/>
      </rPr>
      <t xml:space="preserve">:
- When </t>
    </r>
    <r>
      <rPr>
        <b/>
        <sz val="11"/>
        <color theme="1"/>
        <rFont val="Calibri"/>
        <family val="2"/>
        <scheme val="minor"/>
      </rPr>
      <t>type === 'due'</t>
    </r>
    <r>
      <rPr>
        <sz val="11"/>
        <color theme="1"/>
        <rFont val="Calibri"/>
        <family val="2"/>
        <scheme val="minor"/>
      </rPr>
      <t xml:space="preserve"> AND </t>
    </r>
    <r>
      <rPr>
        <b/>
        <sz val="11"/>
        <color theme="1"/>
        <rFont val="Calibri"/>
        <family val="2"/>
        <scheme val="minor"/>
      </rPr>
      <t>item.isOverdue === true</t>
    </r>
    <r>
      <rPr>
        <sz val="11"/>
        <color theme="1"/>
        <rFont val="Calibri"/>
        <family val="2"/>
        <scheme val="minor"/>
      </rPr>
      <t xml:space="preserve">:
a. Apply distinctive red card styling: border color </t>
    </r>
    <r>
      <rPr>
        <b/>
        <sz val="11"/>
        <color theme="1"/>
        <rFont val="Calibri"/>
        <family val="2"/>
        <scheme val="minor"/>
      </rPr>
      <t>#EF4444</t>
    </r>
    <r>
      <rPr>
        <sz val="11"/>
        <color theme="1"/>
        <rFont val="Calibri"/>
        <family val="2"/>
        <scheme val="minor"/>
      </rPr>
      <t xml:space="preserve"> (</t>
    </r>
    <r>
      <rPr>
        <b/>
        <sz val="11"/>
        <color theme="1"/>
        <rFont val="Calibri"/>
        <family val="2"/>
        <scheme val="minor"/>
      </rPr>
      <t>border-red-500</t>
    </r>
    <r>
      <rPr>
        <sz val="11"/>
        <color theme="1"/>
        <rFont val="Calibri"/>
        <family val="2"/>
        <scheme val="minor"/>
      </rPr>
      <t xml:space="preserve">), background tint </t>
    </r>
    <r>
      <rPr>
        <b/>
        <sz val="11"/>
        <color theme="1"/>
        <rFont val="Calibri"/>
        <family val="2"/>
        <scheme val="minor"/>
      </rPr>
      <t>#FEF2F2</t>
    </r>
    <r>
      <rPr>
        <sz val="11"/>
        <color theme="1"/>
        <rFont val="Calibri"/>
        <family val="2"/>
        <scheme val="minor"/>
      </rPr>
      <t xml:space="preserve"> (</t>
    </r>
    <r>
      <rPr>
        <b/>
        <sz val="11"/>
        <color theme="1"/>
        <rFont val="Calibri"/>
        <family val="2"/>
        <scheme val="minor"/>
      </rPr>
      <t>bg-red-50</t>
    </r>
    <r>
      <rPr>
        <sz val="11"/>
        <color theme="1"/>
        <rFont val="Calibri"/>
        <family val="2"/>
        <scheme val="minor"/>
      </rPr>
      <t xml:space="preserve">), and date text color </t>
    </r>
    <r>
      <rPr>
        <b/>
        <sz val="11"/>
        <color theme="1"/>
        <rFont val="Calibri"/>
        <family val="2"/>
        <scheme val="minor"/>
      </rPr>
      <t>#DC2626</t>
    </r>
    <r>
      <rPr>
        <sz val="11"/>
        <color theme="1"/>
        <rFont val="Calibri"/>
        <family val="2"/>
        <scheme val="minor"/>
      </rPr>
      <t xml:space="preserve"> (</t>
    </r>
    <r>
      <rPr>
        <b/>
        <sz val="11"/>
        <color theme="1"/>
        <rFont val="Calibri"/>
        <family val="2"/>
        <scheme val="minor"/>
      </rPr>
      <t>text-red-600</t>
    </r>
    <r>
      <rPr>
        <sz val="11"/>
        <color theme="1"/>
        <rFont val="Calibri"/>
        <family val="2"/>
        <scheme val="minor"/>
      </rPr>
      <t xml:space="preserve">).
b. Render a distinct text pill badge following wireframe: </t>
    </r>
    <r>
      <rPr>
        <b/>
        <sz val="11"/>
        <color theme="1"/>
        <rFont val="Calibri"/>
        <family val="2"/>
        <scheme val="minor"/>
      </rPr>
      <t xml:space="preserve">"no. of days/months/year/years ago" </t>
    </r>
    <r>
      <rPr>
        <sz val="11"/>
        <color theme="1"/>
        <rFont val="Calibri"/>
        <family val="2"/>
        <scheme val="minor"/>
      </rPr>
      <t xml:space="preserve">(e.g. </t>
    </r>
    <r>
      <rPr>
        <sz val="11"/>
        <color rgb="FFFF0000"/>
        <rFont val="Calibri"/>
        <family val="2"/>
        <scheme val="minor"/>
      </rPr>
      <t>2 months ago</t>
    </r>
    <r>
      <rPr>
        <sz val="11"/>
        <color theme="1"/>
        <rFont val="Calibri"/>
        <family val="2"/>
        <scheme val="minor"/>
      </rPr>
      <t xml:space="preserve">, </t>
    </r>
    <r>
      <rPr>
        <sz val="11"/>
        <color rgb="FFFF0000"/>
        <rFont val="Calibri"/>
        <family val="2"/>
        <scheme val="minor"/>
      </rPr>
      <t>1 year ago</t>
    </r>
    <r>
      <rPr>
        <sz val="11"/>
        <color theme="1"/>
        <rFont val="Calibri"/>
        <family val="2"/>
        <scheme val="minor"/>
      </rPr>
      <t xml:space="preserve">, </t>
    </r>
    <r>
      <rPr>
        <sz val="11"/>
        <color rgb="FFFF0000"/>
        <rFont val="Calibri"/>
        <family val="2"/>
        <scheme val="minor"/>
      </rPr>
      <t>5 days ago</t>
    </r>
    <r>
      <rPr>
        <sz val="11"/>
        <color theme="1"/>
        <rFont val="Calibri"/>
        <family val="2"/>
        <scheme val="minor"/>
      </rPr>
      <t xml:space="preserve">) in normal weight snake case font with red border color </t>
    </r>
    <r>
      <rPr>
        <b/>
        <sz val="11"/>
        <color theme="1"/>
        <rFont val="Calibri"/>
        <family val="2"/>
        <scheme val="minor"/>
      </rPr>
      <t>#FEE2E2 (px-2 py-0.5 rounded text-red-700</t>
    </r>
    <r>
      <rPr>
        <sz val="11"/>
        <color theme="1"/>
        <rFont val="Calibri"/>
        <family val="2"/>
        <scheme val="minor"/>
      </rPr>
      <t xml:space="preserve">).
- For normal items, use standard neutral </t>
    </r>
    <r>
      <rPr>
        <b/>
        <sz val="11"/>
        <color theme="1"/>
        <rFont val="Calibri"/>
        <family val="2"/>
        <scheme val="minor"/>
      </rPr>
      <t>styling (bg-white border-gray-100</t>
    </r>
    <r>
      <rPr>
        <sz val="11"/>
        <color theme="1"/>
        <rFont val="Calibri"/>
        <family val="2"/>
        <scheme val="minor"/>
      </rPr>
      <t xml:space="preserve">).
c. For </t>
    </r>
    <r>
      <rPr>
        <b/>
        <sz val="11"/>
        <color theme="1"/>
        <rFont val="Calibri"/>
        <family val="2"/>
        <scheme val="minor"/>
      </rPr>
      <t xml:space="preserve">Upcoming </t>
    </r>
    <r>
      <rPr>
        <sz val="11"/>
        <color theme="1"/>
        <rFont val="Calibri"/>
        <family val="2"/>
        <scheme val="minor"/>
      </rPr>
      <t xml:space="preserve">and </t>
    </r>
    <r>
      <rPr>
        <b/>
        <sz val="11"/>
        <color theme="1"/>
        <rFont val="Calibri"/>
        <family val="2"/>
        <scheme val="minor"/>
      </rPr>
      <t>Due</t>
    </r>
    <r>
      <rPr>
        <sz val="11"/>
        <color theme="1"/>
        <rFont val="Calibri"/>
        <family val="2"/>
        <scheme val="minor"/>
      </rPr>
      <t xml:space="preserve"> cards: Render a text pill badge following wireframe: "in </t>
    </r>
    <r>
      <rPr>
        <b/>
        <sz val="11"/>
        <color theme="1"/>
        <rFont val="Calibri"/>
        <family val="2"/>
        <scheme val="minor"/>
      </rPr>
      <t>No. of days/months</t>
    </r>
    <r>
      <rPr>
        <sz val="11"/>
        <color theme="1"/>
        <rFont val="Calibri"/>
        <family val="2"/>
        <scheme val="minor"/>
      </rPr>
      <t xml:space="preserve">". Text and pill border in brand primary color, no fill.
5. </t>
    </r>
    <r>
      <rPr>
        <b/>
        <sz val="11"/>
        <color theme="1"/>
        <rFont val="Calibri"/>
        <family val="2"/>
        <scheme val="minor"/>
      </rPr>
      <t>Tap Handler</t>
    </r>
    <r>
      <rPr>
        <sz val="11"/>
        <color theme="1"/>
        <rFont val="Calibri"/>
        <family val="2"/>
        <scheme val="minor"/>
      </rPr>
      <t xml:space="preserve">: Trigger </t>
    </r>
    <r>
      <rPr>
        <b/>
        <sz val="11"/>
        <color theme="1"/>
        <rFont val="Calibri"/>
        <family val="2"/>
        <scheme val="minor"/>
      </rPr>
      <t>onPress(item)</t>
    </r>
    <r>
      <rPr>
        <sz val="11"/>
        <color theme="1"/>
        <rFont val="Calibri"/>
        <family val="2"/>
        <scheme val="minor"/>
      </rPr>
      <t xml:space="preserve"> when pressed (to open decision modal in FE-1.6).</t>
    </r>
  </si>
  <si>
    <r>
      <rPr>
        <b/>
        <sz val="11"/>
        <color theme="1"/>
        <rFont val="Calibri"/>
        <family val="2"/>
        <scheme val="minor"/>
      </rPr>
      <t>Define Time-Bucketed Screening Overview TypeScript Interfaces, Validation &amp; Sorting Constants</t>
    </r>
    <r>
      <rPr>
        <sz val="11"/>
        <color theme="1"/>
        <rFont val="Calibri"/>
        <family val="2"/>
        <scheme val="minor"/>
      </rPr>
      <t xml:space="preserve">
Description:
Establish the core API contract and data types required to serve the "Your Health Overview" dashboard (Epic 1) while ensuring compatibility with the new Specific Conditions architecture (Epic 18).
Acceptance Criteria:
TypeScript Interfaces: Modify checkupp-api/src/modules/screenings/screening.constants.ts to define and export the canonical type definitions for time-bucketed overview responses.
Add the isSpecific flag to help the frontend render the custom condition UI badge.
TypeScript
export interface ScreeningOverviewItem {
  id: string; // The ID of the ScreeningDueItem
  name: string; // Mapped from either definition.name or specificCondition.conditionName
  date: string; // ISO-8601 date string (dueDate or lastCompletedDate)
  screeningType: 'cancer' | 'health' | 'immunization' | 'specific';
  status: 'PENDING' | 'COMPLETED' | 'OVERDUE'; 
  isOverdue: boolean;
  isSpecific: boolean; // TRUE if this relies on specificConditionId
}
export interface ScreeningOverviewResponse {
  counts: {
    upcoming: number;
    due: number;
    completed: number;
  };
  upcoming: ScreeningOverviewItem[];
  due: ScreeningOverviewItem[];
  completed: ScreeningOverviewItem[];
}
Joi Validation: In checkupp-api/src/modules/screenings/screening.validation.ts, define the request schema validation for the overview route. It must explicitly require zero query parameters and rely strictly on the authenticated JWT user context (req.user.id) to fetch data.</t>
    </r>
  </si>
  <si>
    <r>
      <t xml:space="preserve">Implement </t>
    </r>
    <r>
      <rPr>
        <b/>
        <sz val="11"/>
        <color theme="1"/>
        <rFont val="Calibri"/>
        <family val="2"/>
        <scheme val="minor"/>
      </rPr>
      <t>GET /me/screenings/overview</t>
    </r>
    <r>
      <rPr>
        <sz val="11"/>
        <color theme="1"/>
        <rFont val="Calibri"/>
        <family val="2"/>
        <scheme val="minor"/>
      </rPr>
      <t xml:space="preserve"> Time-Bucketed Aggregation &amp; Chronological Sorting Endpoint
Description:
Build the core data-fetching and sorting engine that powers the three top tabs (Upcoming, Due, Completed) on the "Your Health Overview" screen.
Acceptance Criteria:
Files to Modify: screening.service.ts, screening.controller.ts, screening.routes.ts.
Database Querying:
In screening.service.ts, implement getScreeningOverview(userId: string): Promise&lt;ScreeningOverviewResponse&gt;.
Query prisma.screeningDueItem.findMany filtered strictly by userId.
Crucial: Include polymorphic relations so the mapper can extract the correct name: include: { definition: true, specificCondition: true }.
Date Bucketing Rules:
Calculate exact calendar days: daysUntilDue = Math.floor((dueDate.getTime() - Date.now()) / (1000 * 60 * 60 * 24)).
Upcoming: Items with non-completed status where 0 &lt;= daysUntilDue &lt;= 90.
Due: Items with non-completed status where daysUntilDue &gt; 90 OR daysUntilDue &lt; 0. If daysUntilDue &lt; 0, flag isOverdue = true and override status to 'OVERDUE'.
Completed: Items where status === 'COMPLETED'. Map the date property to lastCompletedDate.
Chronological Sorting Engine:
Sort upcoming array chronologically ascending by date (earliest upcoming screening at top).
Sort due array with Overdue items pinned to the top (sorted by most overdue first: smallest/most negative daysUntilDue ascending), followed by standard due items sorted chronologically ascending by date.
Sort completed array chronologically descending by completion date (most recently completed at top).
Response Payload: Return { counts: { upcoming: upcoming.length, due: due.length, completed: completed.length }, upcoming, due, completed }.
Route Binding: Register router.get('/overview', authMiddleware, getOverviewHandler) in screening.routes.ts.</t>
    </r>
  </si>
  <si>
    <r>
      <rPr>
        <b/>
        <sz val="11"/>
        <color theme="1"/>
        <rFont val="Calibri"/>
        <family val="2"/>
        <scheme val="minor"/>
      </rPr>
      <t>Implement Background Cycle Recalculation Service &amp; Schedule Auto-Transition Logic</t>
    </r>
    <r>
      <rPr>
        <sz val="11"/>
        <color theme="1"/>
        <rFont val="Calibri"/>
        <family val="2"/>
        <scheme val="minor"/>
      </rPr>
      <t xml:space="preserve">
Description:
Ensure that when a user logs a result, the current due item is marked complete, and the next future due item is dynamically calculated and scheduled based on the clinical (or user-defined) frequency.
Acceptance Criteria:
Files to Modify: screening.service.ts, screening.controller.ts.
Auto-Transition Hook: Inside the existing saveScreeningRecord(userId, screeningId, recordPayload) logic, immediately update the active ScreeningDueItem to status: 'COMPLETED' and set its lastCompletedDate to recordPayload.checkDate.
Next Cycle Calculation Engine:
Build logic to calculate the nextDueDate depending on the item type.
If Standard Screening: Fetch canonical interval from ScreeningDefinition (or ScreeningPlan override). Use date-fns addMonths(recordPayload.checkDate, intervalMonths).
If Specific Condition: Fetch specificInterval and specificUnit from SpecificCondition. Use dynamic date-fns addition based on the unit (e.g., if Unit is 'Days', use addDays; if 'Years', use addYears).
Create a new ScreeningDueItem in the database for the userId with the calculated nextDueDate and status: 'PENDING'.
Immediate Schedule Reflection: Ensure any subsequent call to GET /me/screenings/overview flawlessly places the newly completed item under the "Completed" tab and the newly generated next-cycle item under "Upcoming" or "Due".</t>
    </r>
  </si>
  <si>
    <r>
      <t xml:space="preserve">Define Prisma Schema, Interfaces &amp; Joi Validation for </t>
    </r>
    <r>
      <rPr>
        <b/>
        <sz val="11"/>
        <color theme="1"/>
        <rFont val="Calibri"/>
        <family val="2"/>
        <scheme val="minor"/>
      </rPr>
      <t>Specific Conditions</t>
    </r>
    <r>
      <rPr>
        <sz val="11"/>
        <color theme="1"/>
        <rFont val="Calibri"/>
        <family val="2"/>
        <scheme val="minor"/>
      </rPr>
      <t xml:space="preserve">
Description:
Set up the foundational database schema, TypeScript DTOs, and request validation for the "Specific Conditions" feature, ensuring strict tenant isolation and integration with the existing "Your Health Overview" dashboard engine.
Schema:
model UserSpecificCondition {
  id                    String                        @id @default(uuid())
  userId                String
  user                  User                          @relation(fields: [userId], references: [id], onDelete: Cascade)
  // Directly maps to the 4 frontend inputs
  conditionName         String
  monitoringType        String                        // "Blood test", "Imaging/ Radiology", "Doctor Review", "Endoscopy", "Other: [custom]"
  frequencyType         String                        // "Monthly", "Every 3 Months", "Every 6 Months", "Annually", "Custom"
  customMonitoringType  Int?                          // Numeric stepper value (only populated if frequencyType == "Custom")
  customFrequencyType   String?                       // "Days", "Months", "Years" (only populated if frequencyType == "Custom")
  careProvider          String
  createdAt             DateTime                      @default(now())
  updatedAt             DateTime                      @updatedAt
  records               UserSpecificConditionRecord[]
  dueItems              ScreeningDueItem[]            // Powers the "Your Health Overview" dashboard
  @@index([userId])
}
model UserSpecificConditionRecord {
  id                        String                @id @default(uuid())
  userSpecificConditionId   String
  userSpecificCondition     UserSpecificCondition @relation(fields: [userSpecificConditionId], references: [id], onDelete: Cascade)
  userId                    String
  user                      User                  @relation(fields: [userId], references: [id], onDelete: Cascade)
  // Directly maps to Screen 5 inputs
  checkDate                 DateTime
  outcomeNotes              String?
  createdAt                 DateTime              @default(now())
  updatedAt                 DateTime              @updatedAt
  @@index([userSpecificConditionId])
  @@index([userId])
}
// Ensure this is added to the existing ScreeningDueItem model:
model ScreeningDueItem {
  // ... existing fields ...
  userSpecificConditionId   String?
  userSpecificCondition     UserSpecificCondition? @relation(fields: [userSpecificConditionId], references: [id], onDelete: Cascade)
}
Technical Tasks:
Modify prisma/schema.prisma:
Create UserSpecificCondition model with fields: id, userId, conditionName, monitoringType, frequencyType, customMonitoringType (Int?), customFrequencyType (String?), careProvider, createdAt, updatedAt.
Create UserSpecificConditionRecord model with fields: id, userSpecificConditionId, userId, checkDate, outcomeNotes, createdAt, updatedAt. (No attachments for V1).
Crucial: Add userSpecificConditionId (String?) and the relation to the existing ScreeningDueItem model so custom conditions appear on the main dashboard.
Update screening.constants.ts:
Export the matching TypeScript interfaces (CreateSpecificConditionInput, etc.) so the frontend has a strict type contract.
Update screening.validation.ts:
Define createUserSpecificConditionSchema (Joi validation):
conditionName, monitoringType, careProvider: required strings.
frequencyType: required enum (Monthly, Every 3 Months, Every 6 Months, Annually, Custom).
customMonitoringType: positive integer (required if frequencyType is 'Custom').
customFrequencyType: enum (Days, Months, Years) (required if frequencyType is 'Custom').
nextDueDate: required ISO-8601 date string.</t>
    </r>
  </si>
  <si>
    <r>
      <t xml:space="preserve">Implement </t>
    </r>
    <r>
      <rPr>
        <b/>
        <sz val="11"/>
        <color theme="1"/>
        <rFont val="Calibri"/>
        <family val="2"/>
        <scheme val="minor"/>
      </rPr>
      <t>POST</t>
    </r>
    <r>
      <rPr>
        <sz val="11"/>
        <color theme="1"/>
        <rFont val="Calibri"/>
        <family val="2"/>
        <scheme val="minor"/>
      </rPr>
      <t xml:space="preserve"> &amp; </t>
    </r>
    <r>
      <rPr>
        <b/>
        <sz val="11"/>
        <color theme="1"/>
        <rFont val="Calibri"/>
        <family val="2"/>
        <scheme val="minor"/>
      </rPr>
      <t>GET</t>
    </r>
    <r>
      <rPr>
        <sz val="11"/>
        <color theme="1"/>
        <rFont val="Calibri"/>
        <family val="2"/>
        <scheme val="minor"/>
      </rPr>
      <t xml:space="preserve"> Endpoints for </t>
    </r>
    <r>
      <rPr>
        <b/>
        <sz val="11"/>
        <color theme="1"/>
        <rFont val="Calibri"/>
        <family val="2"/>
        <scheme val="minor"/>
      </rPr>
      <t>Specific Conditions</t>
    </r>
    <r>
      <rPr>
        <sz val="11"/>
        <color theme="1"/>
        <rFont val="Calibri"/>
        <family val="2"/>
        <scheme val="minor"/>
      </rPr>
      <t xml:space="preserve">
Description:
Create the dedicated CRUD endpoints that allow a user to add a new specific condition to their profile and fetch their existing list.
Technical Tasks:
Service Implementation (screening.service.ts):
Implement createUserSpecificCondition: Must wrap the creation in a prisma.$transaction. After creating the UserSpecificCondition, it must instantly create a ScreeningDueItem using the provided nextDueDate and calculated intervalMonths so it immediately appears on the user's Health Overview.
Implement listUserSpecificConditions: Fetch all conditions for the authenticated userId. Use Prisma include to fetch the most recent associated record (records: { orderBy: { checkDate: 'desc' }, take: 1 }) to supply the "Last Checked" state to the UI.
Controller &amp; Router (screening.controller.ts &amp; screening.routes.ts):
Expose POST /me/screenings/specific-conditions (wrapped in Auth &amp; Joi validation).
Expose GET /me/screenings/specific-conditions (wrapped in Auth).
Audit Logging:
Trigger an immutable audit event (screenings.specific_condition.create) via audit.service.ts upon successful creation.</t>
    </r>
  </si>
  <si>
    <r>
      <rPr>
        <b/>
        <sz val="11"/>
        <color theme="1"/>
        <rFont val="Calibri"/>
        <family val="2"/>
        <scheme val="minor"/>
      </rPr>
      <t xml:space="preserve">Integrate Specific Conditions into the Central Record Logging Engine
</t>
    </r>
    <r>
      <rPr>
        <sz val="11"/>
        <color theme="1"/>
        <rFont val="Calibri"/>
        <family val="2"/>
        <scheme val="minor"/>
      </rPr>
      <t xml:space="preserve">Description:
Instead of creating a redundant, separate endpoint for logging custom outcomes, upgrade the </t>
    </r>
    <r>
      <rPr>
        <b/>
        <sz val="11"/>
        <color theme="1"/>
        <rFont val="Calibri"/>
        <family val="2"/>
        <scheme val="minor"/>
      </rPr>
      <t>existing POST /me/screenings/records</t>
    </r>
    <r>
      <rPr>
        <sz val="11"/>
        <color theme="1"/>
        <rFont val="Calibri"/>
        <family val="2"/>
        <scheme val="minor"/>
      </rPr>
      <t xml:space="preserve"> endpoint to intelligently handle Specific Conditions, keeping the mobile API calls unified.
Technical Tasks:
Modify createScreeningRecord inside screening.service.ts:
Update the lookup logic to check if the incoming screeningDueItemId belongs to a UserSpecificCondition.
If it does, route the data to create a UserSpecificConditionRecord (saving the checkDate and outcomeNotes).
Complete the current ScreeningDueItem.
Build the Specific Condition Auto-Advancement Engine:
Calculate the nextDueDate based on the condition's frequency settings.
If frequencyType is a standard dropdown (Monthly, Annually, etc.), add the exact months.
If frequencyType is "Custom", run a switch statement on customFrequencyType to add accurate Days, Months, or Years based on the customMonitoringType stepper value.
Generate the next ScreeningDueItem with the newly calculated date to ensure the recurrent loop continues on the dashboard.</t>
    </r>
  </si>
  <si>
    <t>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</si>
</sst>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2"/>
      <color theme="1"/>
      <name val="Calibri"/>
      <family val="2"/>
      <scheme val="minor"/>
    </font>
    <font>
      <b/>
      <sz val="12"/>
      <color theme="0"/>
      <name val="Calibri"/>
      <family val="2"/>
      <scheme val="minor"/>
    </font>
    <font>
      <b/>
      <sz val="11"/>
      <color theme="1"/>
      <name val="Calibri"/>
      <family val="2"/>
      <scheme val="minor"/>
    </font>
    <font>
      <sz val="8"/>
      <name val="Calibri"/>
      <family val="2"/>
      <scheme val="minor"/>
    </font>
    <font>
      <sz val="11"/>
      <color theme="1" tint="4.9989318521683403E-2"/>
      <name val="Calibri"/>
      <family val="2"/>
      <scheme val="minor"/>
    </font>
    <font>
      <b/>
      <sz val="11"/>
      <color theme="1" tint="4.9989318521683403E-2"/>
      <name val="Calibri"/>
      <family val="2"/>
      <scheme val="minor"/>
    </font>
    <font>
      <sz val="11"/>
      <color rgb="FFFF000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5">
    <xf numFmtId="0" fontId="0" fillId="0" borderId="0" xfId="0"/>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0" xfId="0" applyAlignment="1">
      <alignment horizontal="center"/>
    </xf>
    <xf numFmtId="0" fontId="2" fillId="2" borderId="1" xfId="0" applyFont="1" applyFill="1" applyBorder="1" applyAlignment="1">
      <alignment horizontal="center" vertical="center" wrapText="1"/>
    </xf>
    <xf numFmtId="0" fontId="0" fillId="3" borderId="1" xfId="0" applyFill="1" applyBorder="1" applyAlignment="1">
      <alignment wrapText="1"/>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3" borderId="1" xfId="0" applyFill="1" applyBorder="1" applyAlignment="1">
      <alignment horizontal="left" vertical="center" wrapText="1"/>
    </xf>
    <xf numFmtId="0" fontId="1" fillId="4" borderId="1" xfId="0" applyFont="1" applyFill="1" applyBorder="1" applyAlignment="1">
      <alignment horizontal="center" vertical="center" wrapText="1"/>
    </xf>
    <xf numFmtId="0" fontId="0" fillId="4" borderId="1" xfId="0" applyFill="1" applyBorder="1" applyAlignment="1">
      <alignment horizontal="center" vertical="center" wrapText="1"/>
    </xf>
    <xf numFmtId="0" fontId="0" fillId="4" borderId="1" xfId="0" applyFill="1" applyBorder="1" applyAlignment="1">
      <alignment horizontal="left" vertical="center" wrapText="1"/>
    </xf>
    <xf numFmtId="14" fontId="0" fillId="0" borderId="0" xfId="0" applyNumberFormat="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01 Burndown'!$C$1</c:f>
              <c:strCache>
                <c:ptCount val="1"/>
                <c:pt idx="0">
                  <c:v>Actual Story Points Left</c:v>
                </c:pt>
              </c:strCache>
            </c:strRef>
          </c:tx>
          <c:spPr>
            <a:ln w="28575" cap="rnd">
              <a:solidFill>
                <a:schemeClr val="accent1"/>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Burndown'!$C$2:$C$10</c:f>
              <c:numCache>
                <c:formatCode>General</c:formatCode>
                <c:ptCount val="9"/>
                <c:pt idx="0">
                  <c:v>82</c:v>
                </c:pt>
                <c:pt idx="1">
                  <c:v>74</c:v>
                </c:pt>
                <c:pt idx="2">
                  <c:v>66</c:v>
                </c:pt>
                <c:pt idx="3">
                  <c:v>66</c:v>
                </c:pt>
                <c:pt idx="4">
                  <c:v>66</c:v>
                </c:pt>
                <c:pt idx="5">
                  <c:v>62</c:v>
                </c:pt>
                <c:pt idx="6">
                  <c:v>52</c:v>
                </c:pt>
                <c:pt idx="7">
                  <c:v>37</c:v>
                </c:pt>
                <c:pt idx="8">
                  <c:v>0</c:v>
                </c:pt>
              </c:numCache>
            </c:numRef>
          </c:val>
          <c:smooth val="0"/>
          <c:extLst>
            <c:ext xmlns:c16="http://schemas.microsoft.com/office/drawing/2014/chart" uri="{C3380CC4-5D6E-409C-BE32-E72D297353CC}">
              <c16:uniqueId val="{00000000-93A3-4D70-A15D-11D521EE13C6}"/>
            </c:ext>
          </c:extLst>
        </c:ser>
        <c:ser>
          <c:idx val="1"/>
          <c:order val="1"/>
          <c:tx>
            <c:strRef>
              <c:f>'Sprint 01 Burndown'!$D$1</c:f>
              <c:strCache>
                <c:ptCount val="1"/>
                <c:pt idx="0">
                  <c:v>Expected Story Points Left</c:v>
                </c:pt>
              </c:strCache>
            </c:strRef>
          </c:tx>
          <c:spPr>
            <a:ln w="28575" cap="rnd">
              <a:solidFill>
                <a:schemeClr val="accent2"/>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Burndown'!$D$2:$D$10</c:f>
              <c:numCache>
                <c:formatCode>General</c:formatCode>
                <c:ptCount val="9"/>
                <c:pt idx="0">
                  <c:v>82</c:v>
                </c:pt>
                <c:pt idx="1">
                  <c:v>71.75</c:v>
                </c:pt>
                <c:pt idx="2">
                  <c:v>61.5</c:v>
                </c:pt>
                <c:pt idx="3">
                  <c:v>51.25</c:v>
                </c:pt>
                <c:pt idx="4">
                  <c:v>41</c:v>
                </c:pt>
                <c:pt idx="5">
                  <c:v>30.75</c:v>
                </c:pt>
                <c:pt idx="6">
                  <c:v>20.5</c:v>
                </c:pt>
                <c:pt idx="7">
                  <c:v>10.25</c:v>
                </c:pt>
                <c:pt idx="8">
                  <c:v>0</c:v>
                </c:pt>
              </c:numCache>
            </c:numRef>
          </c:val>
          <c:smooth val="0"/>
          <c:extLst>
            <c:ext xmlns:c16="http://schemas.microsoft.com/office/drawing/2014/chart" uri="{C3380CC4-5D6E-409C-BE32-E72D297353CC}">
              <c16:uniqueId val="{00000001-93A3-4D70-A15D-11D521EE13C6}"/>
            </c:ext>
          </c:extLst>
        </c:ser>
        <c:dLbls>
          <c:showLegendKey val="0"/>
          <c:showVal val="0"/>
          <c:showCatName val="0"/>
          <c:showSerName val="0"/>
          <c:showPercent val="0"/>
          <c:showBubbleSize val="0"/>
        </c:dLbls>
        <c:smooth val="0"/>
        <c:axId val="228576623"/>
        <c:axId val="228581423"/>
      </c:lineChart>
      <c:dateAx>
        <c:axId val="228576623"/>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81423"/>
        <c:crosses val="autoZero"/>
        <c:auto val="0"/>
        <c:lblOffset val="100"/>
        <c:baseTimeUnit val="days"/>
      </c:dateAx>
      <c:valAx>
        <c:axId val="228581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76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167640</xdr:colOff>
      <xdr:row>0</xdr:row>
      <xdr:rowOff>182880</xdr:rowOff>
    </xdr:from>
    <xdr:to>
      <xdr:col>21</xdr:col>
      <xdr:colOff>36990</xdr:colOff>
      <xdr:row>20</xdr:row>
      <xdr:rowOff>7398</xdr:rowOff>
    </xdr:to>
    <xdr:graphicFrame macro="">
      <xdr:nvGraphicFramePr>
        <xdr:cNvPr id="5" name="Chart 4">
          <a:extLst>
            <a:ext uri="{FF2B5EF4-FFF2-40B4-BE49-F238E27FC236}">
              <a16:creationId xmlns:a16="http://schemas.microsoft.com/office/drawing/2014/main" id="{A4606402-996D-6CA4-C8E9-5276D0F88F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2"/>
  <sheetViews>
    <sheetView zoomScale="71" zoomScaleNormal="82" workbookViewId="0">
      <pane ySplit="1" topLeftCell="A24" activePane="bottomLeft" state="frozen"/>
      <selection pane="bottomLeft" activeCell="G24" sqref="G24"/>
    </sheetView>
  </sheetViews>
  <sheetFormatPr defaultColWidth="8.88671875" defaultRowHeight="14.4" x14ac:dyDescent="0.3"/>
  <cols>
    <col min="1" max="1" width="6.88671875" style="12" customWidth="1"/>
    <col min="2" max="2" width="14.33203125" style="12" customWidth="1"/>
    <col min="3" max="3" width="13.21875" style="12" bestFit="1" customWidth="1"/>
    <col min="4" max="4" width="17.6640625" style="12" bestFit="1" customWidth="1"/>
    <col min="5" max="5" width="13.5546875" style="12" bestFit="1" customWidth="1"/>
    <col min="6" max="6" width="52.6640625" style="13" customWidth="1"/>
    <col min="7" max="7" width="12.109375" style="12" bestFit="1" customWidth="1"/>
    <col min="8" max="8" width="12.88671875" style="12" bestFit="1" customWidth="1"/>
    <col min="9" max="9" width="11.33203125" style="12" bestFit="1" customWidth="1"/>
    <col min="10" max="10" width="6.77734375" style="12" bestFit="1" customWidth="1"/>
    <col min="11" max="11" width="15.5546875" style="12" bestFit="1" customWidth="1"/>
    <col min="12" max="12" width="10.44140625" style="12" bestFit="1" customWidth="1"/>
    <col min="13" max="16384" width="8.88671875" style="12"/>
  </cols>
  <sheetData>
    <row r="1" spans="1:12" s="11" customFormat="1" ht="30" customHeight="1" x14ac:dyDescent="0.3">
      <c r="A1" s="6" t="s">
        <v>11</v>
      </c>
      <c r="B1" s="6" t="s">
        <v>0</v>
      </c>
      <c r="C1" s="6" t="s">
        <v>1</v>
      </c>
      <c r="D1" s="6" t="s">
        <v>2</v>
      </c>
      <c r="E1" s="6" t="s">
        <v>10</v>
      </c>
      <c r="F1" s="6" t="s">
        <v>3</v>
      </c>
      <c r="G1" s="6" t="s">
        <v>4</v>
      </c>
      <c r="H1" s="6" t="s">
        <v>8</v>
      </c>
      <c r="I1" s="6" t="s">
        <v>9</v>
      </c>
      <c r="J1" s="6" t="s">
        <v>5</v>
      </c>
      <c r="K1" s="6" t="s">
        <v>6</v>
      </c>
      <c r="L1" s="6" t="s">
        <v>7</v>
      </c>
    </row>
    <row r="2" spans="1:12" ht="49.2" customHeight="1" x14ac:dyDescent="0.3">
      <c r="A2" s="8">
        <v>1</v>
      </c>
      <c r="B2" s="8" t="s">
        <v>26</v>
      </c>
      <c r="C2" s="8">
        <v>0.1</v>
      </c>
      <c r="D2" s="8" t="s">
        <v>33</v>
      </c>
      <c r="E2" s="8" t="s">
        <v>16</v>
      </c>
      <c r="F2" s="10" t="s">
        <v>17</v>
      </c>
      <c r="G2" s="8" t="s">
        <v>18</v>
      </c>
      <c r="H2" s="8" t="s">
        <v>19</v>
      </c>
      <c r="I2" s="8" cm="1">
        <f t="array" ref="I2">_xlfn.SWITCH(H2,"XS",1,"S",2,"M",3,"L",5,"XL",8,"XXL",13,"XXXL",21,"")</f>
        <v>1</v>
      </c>
      <c r="J2" s="8" t="s">
        <v>75</v>
      </c>
      <c r="K2" s="8"/>
      <c r="L2" s="8"/>
    </row>
    <row r="3" spans="1:12" ht="408.6" customHeight="1" x14ac:dyDescent="0.3">
      <c r="A3" s="8">
        <v>2</v>
      </c>
      <c r="B3" s="8" t="s">
        <v>25</v>
      </c>
      <c r="C3" s="8">
        <v>1.1000000000000001</v>
      </c>
      <c r="D3" s="8" t="s">
        <v>32</v>
      </c>
      <c r="E3" s="8" t="s">
        <v>20</v>
      </c>
      <c r="F3" s="10" t="s">
        <v>38</v>
      </c>
      <c r="G3" s="8" t="s">
        <v>21</v>
      </c>
      <c r="H3" s="8" t="s">
        <v>23</v>
      </c>
      <c r="I3" s="8" cm="1">
        <f t="array" ref="I3">_xlfn.SWITCH(H3,"XS",1,"S",2,"M",3,"L",5,"XL",8,"XXL",13,"XXXL",21,"")</f>
        <v>2</v>
      </c>
      <c r="J3" s="8" t="s">
        <v>75</v>
      </c>
      <c r="K3" s="8"/>
      <c r="L3" s="8"/>
    </row>
    <row r="4" spans="1:12" ht="408.6" customHeight="1" x14ac:dyDescent="0.3">
      <c r="A4" s="8">
        <v>3</v>
      </c>
      <c r="B4" s="8" t="s">
        <v>25</v>
      </c>
      <c r="C4" s="8" t="s">
        <v>43</v>
      </c>
      <c r="D4" s="8" t="s">
        <v>34</v>
      </c>
      <c r="E4" s="8" t="s">
        <v>22</v>
      </c>
      <c r="F4" s="10" t="s">
        <v>69</v>
      </c>
      <c r="G4" s="8" t="s">
        <v>24</v>
      </c>
      <c r="H4" s="8" t="s">
        <v>19</v>
      </c>
      <c r="I4" s="8" cm="1">
        <f t="array" ref="I4">_xlfn.SWITCH(H4,"XS",1,"S",2,"M",3,"L",5,"XL",8,"XXL",13,"XXXL",21,"")</f>
        <v>1</v>
      </c>
      <c r="J4" s="8" t="s">
        <v>75</v>
      </c>
      <c r="K4" s="8"/>
      <c r="L4" s="8"/>
    </row>
    <row r="5" spans="1:12" ht="408.6" customHeight="1" x14ac:dyDescent="0.3">
      <c r="A5" s="8">
        <v>4</v>
      </c>
      <c r="B5" s="8" t="s">
        <v>25</v>
      </c>
      <c r="C5" s="8" t="s">
        <v>43</v>
      </c>
      <c r="D5" s="8" t="s">
        <v>35</v>
      </c>
      <c r="E5" s="8" t="s">
        <v>22</v>
      </c>
      <c r="F5" s="10" t="s">
        <v>70</v>
      </c>
      <c r="G5" s="8" t="s">
        <v>24</v>
      </c>
      <c r="H5" s="8" t="s">
        <v>30</v>
      </c>
      <c r="I5" s="8" cm="1">
        <f t="array" ref="I5">_xlfn.SWITCH(H5,"XS",1,"S",2,"M",3,"L",5,"XL",8,"XXL",13,"XXXL",21,"")</f>
        <v>5</v>
      </c>
      <c r="J5" s="8" t="s">
        <v>75</v>
      </c>
      <c r="K5" s="8"/>
      <c r="L5" s="8"/>
    </row>
    <row r="6" spans="1:12" ht="409.6" x14ac:dyDescent="0.3">
      <c r="A6" s="8">
        <v>5</v>
      </c>
      <c r="B6" s="8"/>
      <c r="C6" s="8">
        <v>1.6</v>
      </c>
      <c r="D6" s="8"/>
      <c r="E6" s="8" t="s">
        <v>22</v>
      </c>
      <c r="F6" s="10" t="s">
        <v>71</v>
      </c>
      <c r="G6" s="8" t="s">
        <v>24</v>
      </c>
      <c r="H6" s="8" t="s">
        <v>30</v>
      </c>
      <c r="I6" s="8" cm="1">
        <f t="array" ref="I6">_xlfn.SWITCH(H6,"XS",1,"S",2,"M",3,"L",5,"XL",8,"XXL",13,"XXXL",21,"")</f>
        <v>5</v>
      </c>
      <c r="J6" s="8" t="s">
        <v>75</v>
      </c>
      <c r="K6" s="8"/>
      <c r="L6" s="8"/>
    </row>
    <row r="7" spans="1:12" ht="272.39999999999998" customHeight="1" x14ac:dyDescent="0.3">
      <c r="A7" s="8">
        <v>6</v>
      </c>
      <c r="B7" s="8" t="s">
        <v>25</v>
      </c>
      <c r="C7" s="8" t="s">
        <v>42</v>
      </c>
      <c r="D7" s="8" t="s">
        <v>36</v>
      </c>
      <c r="E7" s="8" t="s">
        <v>31</v>
      </c>
      <c r="F7" s="10" t="s">
        <v>44</v>
      </c>
      <c r="G7" s="8" t="s">
        <v>29</v>
      </c>
      <c r="H7" s="8" t="s">
        <v>27</v>
      </c>
      <c r="I7" s="8" cm="1">
        <f t="array" ref="I7">_xlfn.SWITCH(H7,"XS",1,"S",2,"M",3,"L",5,"XL",8,"XXL",13,"XXXL",21,"")</f>
        <v>3</v>
      </c>
      <c r="J7" s="8" t="s">
        <v>75</v>
      </c>
      <c r="K7" s="8"/>
      <c r="L7" s="8"/>
    </row>
    <row r="8" spans="1:12" ht="409.6" x14ac:dyDescent="0.3">
      <c r="A8" s="8">
        <v>7</v>
      </c>
      <c r="B8" s="8" t="s">
        <v>25</v>
      </c>
      <c r="C8" s="8" t="s">
        <v>41</v>
      </c>
      <c r="D8" s="8" t="s">
        <v>63</v>
      </c>
      <c r="E8" s="8" t="s">
        <v>20</v>
      </c>
      <c r="F8" s="10" t="s">
        <v>45</v>
      </c>
      <c r="G8" s="8" t="s">
        <v>24</v>
      </c>
      <c r="H8" s="8" t="s">
        <v>27</v>
      </c>
      <c r="I8" s="8" cm="1">
        <f t="array" ref="I8">_xlfn.SWITCH(H8,"XS",1,"S",2,"M",3,"L",5,"XL",8,"XXL",13,"XXXL",21,"")</f>
        <v>3</v>
      </c>
      <c r="J8" s="8" t="s">
        <v>75</v>
      </c>
      <c r="K8" s="8"/>
      <c r="L8" s="8"/>
    </row>
    <row r="9" spans="1:12" ht="409.6" x14ac:dyDescent="0.3">
      <c r="A9" s="8">
        <v>8</v>
      </c>
      <c r="B9" s="8" t="s">
        <v>25</v>
      </c>
      <c r="C9" s="8" t="s">
        <v>40</v>
      </c>
      <c r="D9" s="8" t="s">
        <v>28</v>
      </c>
      <c r="E9" s="8" t="s">
        <v>20</v>
      </c>
      <c r="F9" s="10" t="s">
        <v>68</v>
      </c>
      <c r="G9" s="8" t="s">
        <v>29</v>
      </c>
      <c r="H9" s="8" t="s">
        <v>23</v>
      </c>
      <c r="I9" s="8" cm="1">
        <f t="array" ref="I9">_xlfn.SWITCH(H9,"XS",1,"S",2,"M",3,"L",5,"XL",8,"XXL",13,"XXXL",21,"")</f>
        <v>2</v>
      </c>
      <c r="J9" s="8" t="s">
        <v>75</v>
      </c>
      <c r="K9" s="8"/>
      <c r="L9" s="8"/>
    </row>
    <row r="10" spans="1:12" ht="396" customHeight="1" x14ac:dyDescent="0.3">
      <c r="A10" s="8">
        <v>9</v>
      </c>
      <c r="B10" s="8" t="s">
        <v>25</v>
      </c>
      <c r="C10" s="8" t="s">
        <v>39</v>
      </c>
      <c r="D10" s="8" t="s">
        <v>28</v>
      </c>
      <c r="E10" s="8" t="s">
        <v>20</v>
      </c>
      <c r="F10" s="10" t="s">
        <v>46</v>
      </c>
      <c r="G10" s="8" t="s">
        <v>29</v>
      </c>
      <c r="H10" s="8" t="s">
        <v>27</v>
      </c>
      <c r="I10" s="8" cm="1">
        <f t="array" ref="I10">_xlfn.SWITCH(H10,"XS",1,"S",2,"M",3,"L",5,"XL",8,"XXL",13,"XXXL",21,"")</f>
        <v>3</v>
      </c>
      <c r="J10" s="8" t="s">
        <v>75</v>
      </c>
      <c r="K10" s="8"/>
      <c r="L10" s="8"/>
    </row>
    <row r="11" spans="1:12" ht="409.6" x14ac:dyDescent="0.3">
      <c r="A11" s="8">
        <v>10</v>
      </c>
      <c r="B11" s="8" t="s">
        <v>25</v>
      </c>
      <c r="C11" s="8" t="s">
        <v>47</v>
      </c>
      <c r="D11" s="8" t="s">
        <v>37</v>
      </c>
      <c r="E11" s="8" t="s">
        <v>20</v>
      </c>
      <c r="F11" s="10" t="s">
        <v>48</v>
      </c>
      <c r="G11" s="8" t="s">
        <v>29</v>
      </c>
      <c r="H11" s="8" t="s">
        <v>30</v>
      </c>
      <c r="I11" s="8" cm="1">
        <f t="array" ref="I11">_xlfn.SWITCH(H11,"XS",1,"S",2,"M",3,"L",5,"XL",8,"XXL",13,"XXXL",21,"")</f>
        <v>5</v>
      </c>
      <c r="J11" s="8" t="s">
        <v>75</v>
      </c>
      <c r="K11" s="8"/>
      <c r="L11" s="8"/>
    </row>
    <row r="12" spans="1:12" ht="408.6" customHeight="1" x14ac:dyDescent="0.3">
      <c r="A12" s="8">
        <v>11</v>
      </c>
      <c r="B12" s="8"/>
      <c r="C12" s="8" t="s">
        <v>49</v>
      </c>
      <c r="D12" s="8"/>
      <c r="E12" s="8" t="s">
        <v>20</v>
      </c>
      <c r="F12" s="10" t="s">
        <v>64</v>
      </c>
      <c r="G12" s="8" t="s">
        <v>21</v>
      </c>
      <c r="H12" s="8" t="s">
        <v>27</v>
      </c>
      <c r="I12" s="8" cm="1">
        <f t="array" ref="I12">_xlfn.SWITCH(H12,"XS",1,"S",2,"M",3,"L",5,"XL",8,"XXL",13,"XXXL",21,"")</f>
        <v>3</v>
      </c>
      <c r="J12" s="8" t="s">
        <v>75</v>
      </c>
      <c r="K12" s="8"/>
      <c r="L12" s="8"/>
    </row>
    <row r="13" spans="1:12" ht="302.39999999999998" x14ac:dyDescent="0.3">
      <c r="A13" s="8">
        <v>12</v>
      </c>
      <c r="B13" s="8"/>
      <c r="C13" s="8">
        <v>1.8</v>
      </c>
      <c r="D13" s="8"/>
      <c r="E13" s="8" t="s">
        <v>20</v>
      </c>
      <c r="F13" s="10" t="s">
        <v>50</v>
      </c>
      <c r="G13" s="8" t="s">
        <v>29</v>
      </c>
      <c r="H13" s="8" t="s">
        <v>23</v>
      </c>
      <c r="I13" s="8" cm="1">
        <f t="array" ref="I13">_xlfn.SWITCH(H13,"XS",1,"S",2,"M",3,"L",5,"XL",8,"XXL",13,"XXXL",21,"")</f>
        <v>2</v>
      </c>
      <c r="J13" s="8" t="s">
        <v>75</v>
      </c>
      <c r="K13" s="8"/>
      <c r="L13" s="8"/>
    </row>
    <row r="14" spans="1:12" ht="409.6" x14ac:dyDescent="0.3">
      <c r="A14" s="8">
        <v>13</v>
      </c>
      <c r="B14" s="8"/>
      <c r="C14" s="8" t="s">
        <v>52</v>
      </c>
      <c r="D14" s="8" t="s">
        <v>36</v>
      </c>
      <c r="E14" s="8" t="s">
        <v>31</v>
      </c>
      <c r="F14" s="10" t="s">
        <v>51</v>
      </c>
      <c r="G14" s="8" t="s">
        <v>29</v>
      </c>
      <c r="H14" s="8" t="s">
        <v>30</v>
      </c>
      <c r="I14" s="8" cm="1">
        <f t="array" ref="I14">_xlfn.SWITCH(H14,"XS",1,"S",2,"M",3,"L",5,"XL",8,"XXL",13,"XXXL",21,"")</f>
        <v>5</v>
      </c>
      <c r="J14" s="8" t="s">
        <v>75</v>
      </c>
      <c r="K14" s="8"/>
      <c r="L14" s="8"/>
    </row>
    <row r="15" spans="1:12" ht="409.6" x14ac:dyDescent="0.3">
      <c r="A15" s="8">
        <v>14</v>
      </c>
      <c r="B15" s="8"/>
      <c r="C15" s="8"/>
      <c r="D15" s="8" t="s">
        <v>54</v>
      </c>
      <c r="E15" s="8" t="s">
        <v>22</v>
      </c>
      <c r="F15" s="10" t="s">
        <v>72</v>
      </c>
      <c r="G15" s="8" t="s">
        <v>24</v>
      </c>
      <c r="H15" s="8" t="s">
        <v>27</v>
      </c>
      <c r="I15" s="8" cm="1">
        <f t="array" ref="I15">_xlfn.SWITCH(H15,"XS",1,"S",2,"M",3,"L",5,"XL",8,"XXL",13,"XXXL",21,"")</f>
        <v>3</v>
      </c>
      <c r="J15" s="8" t="s">
        <v>75</v>
      </c>
      <c r="K15" s="8" t="s">
        <v>61</v>
      </c>
      <c r="L15" s="8"/>
    </row>
    <row r="16" spans="1:12" ht="409.6" x14ac:dyDescent="0.3">
      <c r="A16" s="8">
        <v>15</v>
      </c>
      <c r="B16" s="8"/>
      <c r="C16" s="8"/>
      <c r="D16" s="8" t="s">
        <v>53</v>
      </c>
      <c r="E16" s="8" t="s">
        <v>22</v>
      </c>
      <c r="F16" s="10" t="s">
        <v>73</v>
      </c>
      <c r="G16" s="8" t="s">
        <v>24</v>
      </c>
      <c r="H16" s="8" t="s">
        <v>30</v>
      </c>
      <c r="I16" s="8" cm="1">
        <f t="array" ref="I16">_xlfn.SWITCH(H16,"XS",1,"S",2,"M",3,"L",5,"XL",8,"XXL",13,"XXXL",21,"")</f>
        <v>5</v>
      </c>
      <c r="J16" s="8" t="s">
        <v>75</v>
      </c>
      <c r="K16" s="8" t="s">
        <v>61</v>
      </c>
      <c r="L16" s="8"/>
    </row>
    <row r="17" spans="1:12" ht="409.6" x14ac:dyDescent="0.3">
      <c r="A17" s="8">
        <v>16</v>
      </c>
      <c r="B17" s="8"/>
      <c r="C17" s="8">
        <v>18.5</v>
      </c>
      <c r="D17" s="8"/>
      <c r="E17" s="8" t="s">
        <v>22</v>
      </c>
      <c r="F17" s="10" t="s">
        <v>74</v>
      </c>
      <c r="G17" s="8" t="s">
        <v>24</v>
      </c>
      <c r="H17" s="8" t="s">
        <v>30</v>
      </c>
      <c r="I17" s="8" cm="1">
        <f t="array" ref="I17">_xlfn.SWITCH(H17,"XS",1,"S",2,"M",3,"L",5,"XL",8,"XXL",13,"XXXL",21,"")</f>
        <v>5</v>
      </c>
      <c r="J17" s="8" t="s">
        <v>75</v>
      </c>
      <c r="K17" s="8" t="s">
        <v>61</v>
      </c>
      <c r="L17" s="8"/>
    </row>
    <row r="18" spans="1:12" ht="315.60000000000002" customHeight="1" x14ac:dyDescent="0.3">
      <c r="A18" s="8">
        <v>17</v>
      </c>
      <c r="B18" s="8"/>
      <c r="C18" s="8" t="s">
        <v>54</v>
      </c>
      <c r="D18" s="8"/>
      <c r="E18" s="8" t="s">
        <v>31</v>
      </c>
      <c r="F18" s="10" t="s">
        <v>55</v>
      </c>
      <c r="G18" s="8" t="s">
        <v>29</v>
      </c>
      <c r="H18" s="8" t="s">
        <v>27</v>
      </c>
      <c r="I18" s="8" cm="1">
        <f t="array" ref="I18">_xlfn.SWITCH(H18,"XS",1,"S",2,"M",3,"L",5,"XL",8,"XXL",13,"XXXL",21,"")</f>
        <v>3</v>
      </c>
      <c r="J18" s="8" t="s">
        <v>75</v>
      </c>
      <c r="K18" s="8"/>
      <c r="L18" s="8"/>
    </row>
    <row r="19" spans="1:12" ht="383.4" customHeight="1" x14ac:dyDescent="0.3">
      <c r="A19" s="8">
        <v>18</v>
      </c>
      <c r="B19" s="8"/>
      <c r="C19" s="8">
        <v>18.100000000000001</v>
      </c>
      <c r="D19" s="8"/>
      <c r="E19" s="8" t="s">
        <v>20</v>
      </c>
      <c r="F19" s="10" t="s">
        <v>56</v>
      </c>
      <c r="G19" s="8" t="s">
        <v>21</v>
      </c>
      <c r="H19" s="8" t="s">
        <v>23</v>
      </c>
      <c r="I19" s="8" cm="1">
        <f t="array" ref="I19">_xlfn.SWITCH(H19,"XS",1,"S",2,"M",3,"L",5,"XL",8,"XXL",13,"XXXL",21,"")</f>
        <v>2</v>
      </c>
      <c r="J19" s="8" t="s">
        <v>75</v>
      </c>
      <c r="K19" s="8"/>
      <c r="L19" s="8"/>
    </row>
    <row r="20" spans="1:12" ht="409.6" x14ac:dyDescent="0.3">
      <c r="A20" s="8">
        <v>19</v>
      </c>
      <c r="B20" s="8"/>
      <c r="C20" s="8">
        <v>18.2</v>
      </c>
      <c r="D20" s="8"/>
      <c r="E20" s="8" t="s">
        <v>20</v>
      </c>
      <c r="F20" s="10" t="s">
        <v>57</v>
      </c>
      <c r="G20" s="8" t="s">
        <v>21</v>
      </c>
      <c r="H20" s="8" t="s">
        <v>30</v>
      </c>
      <c r="I20" s="8" cm="1">
        <f t="array" ref="I20">_xlfn.SWITCH(H20,"XS",1,"S",2,"M",3,"L",5,"XL",8,"XXL",13,"XXXL",21,"")</f>
        <v>5</v>
      </c>
      <c r="J20" s="8" t="s">
        <v>75</v>
      </c>
      <c r="K20" s="8"/>
      <c r="L20" s="8"/>
    </row>
    <row r="21" spans="1:12" ht="360" x14ac:dyDescent="0.3">
      <c r="A21" s="8">
        <v>20</v>
      </c>
      <c r="B21" s="8"/>
      <c r="C21" s="8">
        <v>18.3</v>
      </c>
      <c r="D21" s="8"/>
      <c r="E21" s="8" t="s">
        <v>20</v>
      </c>
      <c r="F21" s="10" t="s">
        <v>60</v>
      </c>
      <c r="G21" s="8" t="s">
        <v>21</v>
      </c>
      <c r="H21" s="8" t="s">
        <v>27</v>
      </c>
      <c r="I21" s="8" cm="1">
        <f t="array" ref="I21">_xlfn.SWITCH(H21,"XS",1,"S",2,"M",3,"L",5,"XL",8,"XXL",13,"XXXL",21,"")</f>
        <v>3</v>
      </c>
      <c r="J21" s="8" t="s">
        <v>75</v>
      </c>
      <c r="K21" s="8"/>
      <c r="L21" s="8"/>
    </row>
    <row r="22" spans="1:12" ht="409.2" customHeight="1" x14ac:dyDescent="0.3">
      <c r="A22" s="8">
        <v>21</v>
      </c>
      <c r="B22" s="8"/>
      <c r="C22" s="8" t="s">
        <v>59</v>
      </c>
      <c r="D22" s="8"/>
      <c r="E22" s="8" t="s">
        <v>20</v>
      </c>
      <c r="F22" s="10" t="s">
        <v>65</v>
      </c>
      <c r="G22" s="8" t="s">
        <v>21</v>
      </c>
      <c r="H22" s="8" t="s">
        <v>27</v>
      </c>
      <c r="I22" s="8" cm="1">
        <f t="array" ref="I22">_xlfn.SWITCH(H22,"XS",1,"S",2,"M",3,"L",5,"XL",8,"XXL",13,"XXXL",21,"")</f>
        <v>3</v>
      </c>
      <c r="J22" s="8" t="s">
        <v>75</v>
      </c>
      <c r="K22" s="8"/>
      <c r="L22" s="8"/>
    </row>
    <row r="23" spans="1:12" ht="316.8" x14ac:dyDescent="0.3">
      <c r="A23" s="8">
        <v>22</v>
      </c>
      <c r="B23" s="8"/>
      <c r="C23" s="8">
        <v>18.399999999999999</v>
      </c>
      <c r="D23" s="8"/>
      <c r="E23" s="8" t="s">
        <v>20</v>
      </c>
      <c r="F23" s="10" t="s">
        <v>66</v>
      </c>
      <c r="G23" s="8" t="s">
        <v>21</v>
      </c>
      <c r="H23" s="8" t="s">
        <v>27</v>
      </c>
      <c r="I23" s="8" cm="1">
        <f t="array" ref="I23">_xlfn.SWITCH(H23,"XS",1,"S",2,"M",3,"L",5,"XL",8,"XXL",13,"XXXL",21,"")</f>
        <v>3</v>
      </c>
      <c r="J23" s="8" t="s">
        <v>75</v>
      </c>
      <c r="K23" s="8"/>
      <c r="L23" s="8"/>
    </row>
    <row r="24" spans="1:12" ht="403.2" x14ac:dyDescent="0.3">
      <c r="A24" s="8">
        <v>23</v>
      </c>
      <c r="B24" s="8"/>
      <c r="C24" s="8">
        <v>18.5</v>
      </c>
      <c r="D24" s="8"/>
      <c r="E24" s="8" t="s">
        <v>20</v>
      </c>
      <c r="F24" s="10" t="s">
        <v>67</v>
      </c>
      <c r="G24" s="8" t="s">
        <v>21</v>
      </c>
      <c r="H24" s="8" t="s">
        <v>30</v>
      </c>
      <c r="I24" s="8" cm="1">
        <f t="array" ref="I24">_xlfn.SWITCH(H24,"XS",1,"S",2,"M",3,"L",5,"XL",8,"XXL",13,"XXXL",21,"")</f>
        <v>5</v>
      </c>
      <c r="J24" s="8" t="s">
        <v>75</v>
      </c>
      <c r="K24" s="8"/>
      <c r="L24" s="8"/>
    </row>
    <row r="25" spans="1:12" ht="409.6" x14ac:dyDescent="0.3">
      <c r="A25" s="8">
        <v>24</v>
      </c>
      <c r="B25" s="8"/>
      <c r="C25" s="8" t="s">
        <v>54</v>
      </c>
      <c r="D25" s="8"/>
      <c r="E25" s="8" t="s">
        <v>31</v>
      </c>
      <c r="F25" s="10" t="s">
        <v>58</v>
      </c>
      <c r="G25" s="8" t="s">
        <v>29</v>
      </c>
      <c r="H25" s="8" t="s">
        <v>30</v>
      </c>
      <c r="I25" s="8" cm="1">
        <f t="array" ref="I25">_xlfn.SWITCH(H25,"XS",1,"S",2,"M",3,"L",5,"XL",8,"XXL",13,"XXXL",21,"")</f>
        <v>5</v>
      </c>
      <c r="J25" s="8" t="s">
        <v>75</v>
      </c>
      <c r="K25" s="8"/>
      <c r="L25" s="8"/>
    </row>
    <row r="26" spans="1:12" x14ac:dyDescent="0.3">
      <c r="A26" s="8"/>
      <c r="B26" s="8"/>
      <c r="C26" s="8"/>
      <c r="D26" s="8"/>
      <c r="E26" s="8"/>
      <c r="F26" s="10"/>
      <c r="G26" s="8"/>
      <c r="H26" s="8"/>
      <c r="I26" s="8" t="str" cm="1">
        <f t="array" ref="I26">_xlfn.SWITCH(H26,"XS",1,"S",2,"M",3,"L",5,"XL",8,"XXL",13,"XXXL",21,"")</f>
        <v/>
      </c>
      <c r="J26" s="8"/>
      <c r="K26" s="8"/>
      <c r="L26" s="8"/>
    </row>
    <row r="27" spans="1:12" x14ac:dyDescent="0.3">
      <c r="A27" s="8"/>
      <c r="B27" s="8"/>
      <c r="C27" s="8"/>
      <c r="D27" s="8"/>
      <c r="E27" s="8"/>
      <c r="F27" s="10"/>
      <c r="G27" s="8"/>
      <c r="H27" s="8"/>
      <c r="I27" s="8" t="str" cm="1">
        <f t="array" ref="I27">_xlfn.SWITCH(H27,"XS",1,"S",2,"M",3,"L",5,"XL",8,"XXL",13,"XXXL",21,"")</f>
        <v/>
      </c>
      <c r="J27" s="8"/>
      <c r="K27" s="8"/>
      <c r="L27" s="8"/>
    </row>
    <row r="28" spans="1:12" x14ac:dyDescent="0.3">
      <c r="A28" s="8"/>
      <c r="B28" s="8"/>
      <c r="C28" s="8"/>
      <c r="D28" s="8"/>
      <c r="E28" s="8"/>
      <c r="F28" s="10"/>
      <c r="G28" s="8"/>
      <c r="H28" s="8"/>
      <c r="I28" s="8" t="str" cm="1">
        <f t="array" ref="I28">_xlfn.SWITCH(H28,"XS",1,"S",2,"M",3,"L",5,"XL",8,"XXL",13,"XXXL",21,"")</f>
        <v/>
      </c>
      <c r="J28" s="8"/>
      <c r="K28" s="8"/>
      <c r="L28" s="8"/>
    </row>
    <row r="29" spans="1:12" x14ac:dyDescent="0.3">
      <c r="A29" s="8"/>
      <c r="B29" s="8"/>
      <c r="C29" s="8"/>
      <c r="D29" s="8"/>
      <c r="E29" s="8"/>
      <c r="F29" s="10"/>
      <c r="G29" s="8"/>
      <c r="H29" s="8"/>
      <c r="I29" s="8" t="str" cm="1">
        <f t="array" ref="I29">_xlfn.SWITCH(H29,"XS",1,"S",2,"M",3,"L",5,"XL",8,"XXL",13,"XXXL",21,"")</f>
        <v/>
      </c>
      <c r="J29" s="8"/>
      <c r="K29" s="8"/>
      <c r="L29" s="8"/>
    </row>
    <row r="30" spans="1:12" x14ac:dyDescent="0.3">
      <c r="A30" s="8"/>
      <c r="B30" s="8"/>
      <c r="C30" s="8"/>
      <c r="D30" s="8"/>
      <c r="E30" s="8"/>
      <c r="F30" s="10"/>
      <c r="G30" s="8"/>
      <c r="H30" s="8"/>
      <c r="I30" s="8" t="str" cm="1">
        <f t="array" ref="I30">_xlfn.SWITCH(H30,"XS",1,"S",2,"M",3,"L",5,"XL",8,"XXL",13,"XXXL",21,"")</f>
        <v/>
      </c>
      <c r="J30" s="8"/>
      <c r="K30" s="8"/>
      <c r="L30" s="8"/>
    </row>
    <row r="31" spans="1:12" x14ac:dyDescent="0.3">
      <c r="A31" s="8"/>
      <c r="B31" s="8"/>
      <c r="C31" s="8"/>
      <c r="D31" s="8"/>
      <c r="E31" s="8"/>
      <c r="F31" s="10"/>
      <c r="G31" s="8"/>
      <c r="H31" s="8"/>
      <c r="I31" s="8" t="str" cm="1">
        <f t="array" ref="I31">_xlfn.SWITCH(H31,"XS",1,"S",2,"M",3,"L",5,"XL",8,"XXL",13,"XXXL",21,"")</f>
        <v/>
      </c>
      <c r="J31" s="8"/>
      <c r="K31" s="8"/>
      <c r="L31" s="8"/>
    </row>
    <row r="32" spans="1:12" x14ac:dyDescent="0.3">
      <c r="A32" s="8"/>
      <c r="B32" s="8"/>
      <c r="C32" s="8"/>
      <c r="D32" s="8"/>
      <c r="E32" s="8"/>
      <c r="F32" s="10"/>
      <c r="G32" s="8"/>
      <c r="H32" s="8"/>
      <c r="I32" s="8" t="str" cm="1">
        <f t="array" ref="I32">_xlfn.SWITCH(H32,"XS",1,"S",2,"M",3,"L",5,"XL",8,"XXL",13,"XXXL",21,"")</f>
        <v/>
      </c>
      <c r="J32" s="8"/>
      <c r="K32" s="8"/>
      <c r="L32" s="8"/>
    </row>
    <row r="33" spans="1:12" x14ac:dyDescent="0.3">
      <c r="A33" s="8"/>
      <c r="B33" s="8"/>
      <c r="C33" s="8"/>
      <c r="D33" s="8"/>
      <c r="E33" s="8"/>
      <c r="F33" s="7"/>
      <c r="G33" s="8"/>
      <c r="H33" s="8"/>
      <c r="I33" s="8" t="str" cm="1">
        <f t="array" ref="I33">_xlfn.SWITCH(H33,"XS",1,"S",2,"M",3,"L",5,"XL",8,"XXL",13,"XXXL",21,"")</f>
        <v/>
      </c>
      <c r="J33" s="8"/>
      <c r="K33" s="8"/>
      <c r="L33" s="8"/>
    </row>
    <row r="34" spans="1:12" x14ac:dyDescent="0.3">
      <c r="A34" s="8"/>
      <c r="B34" s="8"/>
      <c r="C34" s="8"/>
      <c r="D34" s="8"/>
      <c r="E34" s="8"/>
      <c r="F34" s="9"/>
      <c r="G34" s="8"/>
      <c r="H34" s="8"/>
      <c r="I34" s="8" t="str" cm="1">
        <f t="array" ref="I34">_xlfn.SWITCH(H34,"XS",1,"S",2,"M",3,"L",5,"XL",8,"XXL",13,"XXXL",21,"")</f>
        <v/>
      </c>
      <c r="J34" s="8"/>
      <c r="K34" s="8"/>
      <c r="L34" s="8"/>
    </row>
    <row r="35" spans="1:12" x14ac:dyDescent="0.3">
      <c r="A35" s="8"/>
      <c r="B35" s="8"/>
      <c r="C35" s="8"/>
      <c r="D35" s="8"/>
      <c r="E35" s="8"/>
      <c r="F35" s="9"/>
      <c r="G35" s="8"/>
      <c r="H35" s="8"/>
      <c r="I35" s="8" t="str" cm="1">
        <f t="array" ref="I35">_xlfn.SWITCH(H35,"XS",1,"S",2,"M",3,"L",5,"XL",8,"XXL",13,"XXXL",21,"")</f>
        <v/>
      </c>
      <c r="J35" s="8"/>
      <c r="K35" s="8"/>
      <c r="L35" s="8"/>
    </row>
    <row r="36" spans="1:12" x14ac:dyDescent="0.3">
      <c r="A36" s="8"/>
      <c r="B36" s="8"/>
      <c r="C36" s="8"/>
      <c r="D36" s="8"/>
      <c r="E36" s="8"/>
      <c r="F36" s="9"/>
      <c r="G36" s="8"/>
      <c r="H36" s="8"/>
      <c r="I36" s="8" t="str" cm="1">
        <f t="array" ref="I36">_xlfn.SWITCH(H36,"XS",1,"S",2,"M",3,"L",5,"XL",8,"XXL",13,"XXXL",21,"")</f>
        <v/>
      </c>
      <c r="J36" s="8"/>
      <c r="K36" s="8"/>
      <c r="L36" s="8"/>
    </row>
    <row r="37" spans="1:12" x14ac:dyDescent="0.3">
      <c r="A37" s="8"/>
      <c r="B37" s="8"/>
      <c r="C37" s="8"/>
      <c r="D37" s="8"/>
      <c r="E37" s="8"/>
      <c r="F37" s="9"/>
      <c r="G37" s="8"/>
      <c r="H37" s="8"/>
      <c r="I37" s="8" t="str" cm="1">
        <f t="array" ref="I37">_xlfn.SWITCH(H37,"XS",1,"S",2,"M",3,"L",5,"XL",8,"XXL",13,"XXXL",21,"")</f>
        <v/>
      </c>
      <c r="J37" s="8"/>
      <c r="K37" s="8"/>
      <c r="L37" s="8"/>
    </row>
    <row r="38" spans="1:12" x14ac:dyDescent="0.3">
      <c r="A38" s="8"/>
      <c r="B38" s="8"/>
      <c r="C38" s="8"/>
      <c r="D38" s="8"/>
      <c r="E38" s="8"/>
      <c r="F38" s="9"/>
      <c r="G38" s="8"/>
      <c r="H38" s="8"/>
      <c r="I38" s="8" t="str" cm="1">
        <f t="array" ref="I38">_xlfn.SWITCH(H38,"XS",1,"S",2,"M",3,"L",5,"XL",8,"XXL",13,"XXXL",21,"")</f>
        <v/>
      </c>
      <c r="J38" s="8"/>
      <c r="K38" s="8"/>
      <c r="L38" s="8"/>
    </row>
    <row r="39" spans="1:12" x14ac:dyDescent="0.3">
      <c r="A39" s="8"/>
      <c r="B39" s="8"/>
      <c r="C39" s="8"/>
      <c r="D39" s="8"/>
      <c r="E39" s="8"/>
      <c r="F39" s="9"/>
      <c r="G39" s="8"/>
      <c r="H39" s="8"/>
      <c r="I39" s="8" t="str" cm="1">
        <f t="array" ref="I39">_xlfn.SWITCH(H39,"XS",1,"S",2,"M",3,"L",5,"XL",8,"XXL",13,"XXXL",21,"")</f>
        <v/>
      </c>
      <c r="J39" s="8"/>
      <c r="K39" s="8"/>
      <c r="L39" s="8"/>
    </row>
    <row r="40" spans="1:12" x14ac:dyDescent="0.3">
      <c r="A40" s="8"/>
      <c r="B40" s="8"/>
      <c r="C40" s="8"/>
      <c r="D40" s="8"/>
      <c r="E40" s="8"/>
      <c r="F40" s="9"/>
      <c r="G40" s="8"/>
      <c r="H40" s="8"/>
      <c r="I40" s="8" t="str" cm="1">
        <f t="array" ref="I40">_xlfn.SWITCH(H40,"XS",1,"S",2,"M",3,"L",5,"XL",8,"XXL",13,"XXXL",21,"")</f>
        <v/>
      </c>
      <c r="J40" s="8"/>
      <c r="K40" s="8"/>
      <c r="L40" s="8"/>
    </row>
    <row r="41" spans="1:12" x14ac:dyDescent="0.3">
      <c r="A41" s="8"/>
      <c r="B41" s="8"/>
      <c r="C41" s="8"/>
      <c r="D41" s="8"/>
      <c r="E41" s="8"/>
      <c r="F41" s="9"/>
      <c r="G41" s="8"/>
      <c r="H41" s="8"/>
      <c r="I41" s="8" t="str" cm="1">
        <f t="array" ref="I41">_xlfn.SWITCH(H41,"XS",1,"S",2,"M",3,"L",5,"XL",8,"XXL",13,"XXXL",21,"")</f>
        <v/>
      </c>
      <c r="J41" s="8"/>
      <c r="K41" s="8"/>
      <c r="L41" s="8"/>
    </row>
    <row r="42" spans="1:12" x14ac:dyDescent="0.3">
      <c r="A42" s="8"/>
      <c r="B42" s="8"/>
      <c r="C42" s="8"/>
      <c r="D42" s="8"/>
      <c r="E42" s="8"/>
      <c r="F42" s="9"/>
      <c r="G42" s="8"/>
      <c r="H42" s="8"/>
      <c r="I42" s="8" t="str" cm="1">
        <f t="array" ref="I42">_xlfn.SWITCH(H42,"XS",1,"S",2,"M",3,"L",5,"XL",8,"XXL",13,"XXXL",21,"")</f>
        <v/>
      </c>
      <c r="J42" s="8"/>
      <c r="K42" s="8"/>
      <c r="L42" s="8"/>
    </row>
    <row r="43" spans="1:12" x14ac:dyDescent="0.3">
      <c r="A43" s="8"/>
      <c r="B43" s="8"/>
      <c r="C43" s="8"/>
      <c r="D43" s="8"/>
      <c r="E43" s="8"/>
      <c r="F43" s="9"/>
      <c r="G43" s="8"/>
      <c r="H43" s="8"/>
      <c r="I43" s="8" t="str" cm="1">
        <f t="array" ref="I43">_xlfn.SWITCH(H43,"XS",1,"S",2,"M",3,"L",5,"XL",8,"XXL",13,"XXXL",21,"")</f>
        <v/>
      </c>
      <c r="J43" s="8"/>
      <c r="K43" s="8"/>
      <c r="L43" s="8"/>
    </row>
    <row r="44" spans="1:12" x14ac:dyDescent="0.3">
      <c r="A44" s="8"/>
      <c r="B44" s="8"/>
      <c r="C44" s="8"/>
      <c r="D44" s="8"/>
      <c r="E44" s="8"/>
      <c r="F44" s="9"/>
      <c r="G44" s="8"/>
      <c r="H44" s="8"/>
      <c r="I44" s="8" t="str" cm="1">
        <f t="array" ref="I44">_xlfn.SWITCH(H44,"XS",1,"S",2,"M",3,"L",5,"XL",8,"XXL",13,"XXXL",21,"")</f>
        <v/>
      </c>
      <c r="J44" s="8"/>
      <c r="K44" s="8"/>
      <c r="L44" s="8"/>
    </row>
    <row r="45" spans="1:12" x14ac:dyDescent="0.3">
      <c r="A45" s="8"/>
      <c r="B45" s="8"/>
      <c r="C45" s="8"/>
      <c r="D45" s="8"/>
      <c r="E45" s="8"/>
      <c r="F45" s="9"/>
      <c r="G45" s="8"/>
      <c r="H45" s="8"/>
      <c r="I45" s="8" t="str" cm="1">
        <f t="array" ref="I45">_xlfn.SWITCH(H45,"XS",1,"S",2,"M",3,"L",5,"XL",8,"XXL",13,"XXXL",21,"")</f>
        <v/>
      </c>
      <c r="J45" s="8"/>
      <c r="K45" s="8"/>
      <c r="L45" s="8"/>
    </row>
    <row r="46" spans="1:12" x14ac:dyDescent="0.3">
      <c r="A46" s="8"/>
      <c r="B46" s="8"/>
      <c r="C46" s="8"/>
      <c r="D46" s="8"/>
      <c r="E46" s="8"/>
      <c r="F46" s="9"/>
      <c r="G46" s="8"/>
      <c r="H46" s="8"/>
      <c r="I46" s="8" t="str" cm="1">
        <f t="array" ref="I46">_xlfn.SWITCH(H46,"XS",1,"S",2,"M",3,"L",5,"XL",8,"XXL",13,"XXXL",21,"")</f>
        <v/>
      </c>
      <c r="J46" s="8"/>
      <c r="K46" s="8"/>
      <c r="L46" s="8"/>
    </row>
    <row r="47" spans="1:12" x14ac:dyDescent="0.3">
      <c r="A47" s="8"/>
      <c r="B47" s="8"/>
      <c r="C47" s="8"/>
      <c r="D47" s="8"/>
      <c r="E47" s="8"/>
      <c r="F47" s="9"/>
      <c r="G47" s="8"/>
      <c r="H47" s="8"/>
      <c r="I47" s="8" t="str" cm="1">
        <f t="array" ref="I47">_xlfn.SWITCH(H47,"XS",1,"S",2,"M",3,"L",5,"XL",8,"XXL",13,"XXXL",21,"")</f>
        <v/>
      </c>
      <c r="J47" s="8"/>
      <c r="K47" s="8"/>
      <c r="L47" s="8"/>
    </row>
    <row r="48" spans="1:12" x14ac:dyDescent="0.3">
      <c r="A48" s="8"/>
      <c r="B48" s="8"/>
      <c r="C48" s="8"/>
      <c r="D48" s="8"/>
      <c r="E48" s="8"/>
      <c r="F48" s="9"/>
      <c r="G48" s="8"/>
      <c r="H48" s="8"/>
      <c r="I48" s="8" t="str" cm="1">
        <f t="array" ref="I48">_xlfn.SWITCH(H48,"XS",1,"S",2,"M",3,"L",5,"XL",8,"XXL",13,"XXXL",21,"")</f>
        <v/>
      </c>
      <c r="J48" s="8"/>
      <c r="K48" s="8"/>
      <c r="L48" s="8"/>
    </row>
    <row r="49" spans="1:12" x14ac:dyDescent="0.3">
      <c r="A49" s="8"/>
      <c r="B49" s="8"/>
      <c r="C49" s="8"/>
      <c r="D49" s="8"/>
      <c r="E49" s="8"/>
      <c r="F49" s="9"/>
      <c r="G49" s="8"/>
      <c r="H49" s="8"/>
      <c r="I49" s="8" t="str" cm="1">
        <f t="array" ref="I49">_xlfn.SWITCH(H49,"XS",1,"S",2,"M",3,"L",5,"XL",8,"XXL",13,"XXXL",21,"")</f>
        <v/>
      </c>
      <c r="J49" s="8"/>
      <c r="K49" s="8"/>
      <c r="L49" s="8"/>
    </row>
    <row r="50" spans="1:12" x14ac:dyDescent="0.3">
      <c r="A50" s="8"/>
      <c r="B50" s="8"/>
      <c r="C50" s="8"/>
      <c r="D50" s="8"/>
      <c r="E50" s="8"/>
      <c r="F50" s="9"/>
      <c r="G50" s="8"/>
      <c r="H50" s="8"/>
      <c r="I50" s="8" t="str" cm="1">
        <f t="array" ref="I50">_xlfn.SWITCH(H50,"XS",1,"S",2,"M",3,"L",5,"XL",8,"XXL",13,"XXXL",21,"")</f>
        <v/>
      </c>
      <c r="J50" s="8"/>
      <c r="K50" s="8"/>
      <c r="L50" s="8"/>
    </row>
    <row r="51" spans="1:12" x14ac:dyDescent="0.3">
      <c r="A51" s="8"/>
      <c r="B51" s="8"/>
      <c r="C51" s="8"/>
      <c r="D51" s="8"/>
      <c r="E51" s="8"/>
      <c r="F51" s="10"/>
      <c r="G51" s="8"/>
      <c r="H51" s="8"/>
      <c r="I51" s="8" t="str" cm="1">
        <f t="array" ref="I51">_xlfn.SWITCH(H51,"XS",1,"S",2,"M",3,"L",5,"XL",8,"XXL",13,"XXXL",21,"")</f>
        <v/>
      </c>
      <c r="J51" s="8"/>
      <c r="K51" s="8"/>
      <c r="L51" s="8"/>
    </row>
    <row r="52" spans="1:12" x14ac:dyDescent="0.3">
      <c r="A52" s="8"/>
      <c r="B52" s="8"/>
      <c r="C52" s="8"/>
      <c r="D52" s="8"/>
      <c r="E52" s="8"/>
      <c r="F52" s="10"/>
      <c r="G52" s="8"/>
      <c r="H52" s="8"/>
      <c r="I52" s="8" t="str" cm="1">
        <f t="array" ref="I52">_xlfn.SWITCH(H52,"XS",1,"S",2,"M",3,"L",5,"XL",8,"XXL",13,"XXXL",21,"")</f>
        <v/>
      </c>
      <c r="J52" s="8"/>
      <c r="K52" s="8"/>
      <c r="L52" s="8"/>
    </row>
    <row r="53" spans="1:12" x14ac:dyDescent="0.3">
      <c r="A53" s="8"/>
      <c r="B53" s="8"/>
      <c r="C53" s="8"/>
      <c r="D53" s="8"/>
      <c r="E53" s="8"/>
      <c r="F53" s="10"/>
      <c r="G53" s="8"/>
      <c r="H53" s="8"/>
      <c r="I53" s="8" t="str" cm="1">
        <f t="array" ref="I53">_xlfn.SWITCH(H53,"XS",1,"S",2,"M",3,"L",5,"XL",8,"XXL",13,"XXXL",21,"")</f>
        <v/>
      </c>
      <c r="J53" s="8"/>
      <c r="K53" s="8"/>
      <c r="L53" s="8"/>
    </row>
    <row r="54" spans="1:12" x14ac:dyDescent="0.3">
      <c r="A54" s="8"/>
      <c r="B54" s="8"/>
      <c r="C54" s="8"/>
      <c r="D54" s="8"/>
      <c r="E54" s="8"/>
      <c r="F54" s="10"/>
      <c r="G54" s="8"/>
      <c r="H54" s="8"/>
      <c r="I54" s="8" t="str" cm="1">
        <f t="array" ref="I54">_xlfn.SWITCH(H54,"XS",1,"S",2,"M",3,"L",5,"XL",8,"XXL",13,"XXXL",21,"")</f>
        <v/>
      </c>
      <c r="J54" s="8"/>
      <c r="K54" s="8"/>
      <c r="L54" s="8"/>
    </row>
    <row r="55" spans="1:12" x14ac:dyDescent="0.3">
      <c r="A55" s="8"/>
      <c r="B55" s="8"/>
      <c r="C55" s="8"/>
      <c r="D55" s="8"/>
      <c r="E55" s="8"/>
      <c r="F55" s="10"/>
      <c r="G55" s="8"/>
      <c r="H55" s="8"/>
      <c r="I55" s="8" t="str" cm="1">
        <f t="array" ref="I55">_xlfn.SWITCH(H55,"XS",1,"S",2,"M",3,"L",5,"XL",8,"XXL",13,"XXXL",21,"")</f>
        <v/>
      </c>
      <c r="J55" s="8"/>
      <c r="K55" s="8"/>
      <c r="L55" s="8"/>
    </row>
    <row r="56" spans="1:12" x14ac:dyDescent="0.3">
      <c r="A56" s="8"/>
      <c r="B56" s="8"/>
      <c r="C56" s="8"/>
      <c r="D56" s="8"/>
      <c r="E56" s="8"/>
      <c r="F56" s="10"/>
      <c r="G56" s="8"/>
      <c r="H56" s="8"/>
      <c r="I56" s="8" t="str" cm="1">
        <f t="array" ref="I56">_xlfn.SWITCH(H56,"XS",1,"S",2,"M",3,"L",5,"XL",8,"XXL",13,"XXXL",21,"")</f>
        <v/>
      </c>
      <c r="J56" s="8"/>
      <c r="K56" s="8"/>
      <c r="L56" s="8"/>
    </row>
    <row r="57" spans="1:12" x14ac:dyDescent="0.3">
      <c r="A57" s="8"/>
      <c r="B57" s="8"/>
      <c r="C57" s="8"/>
      <c r="D57" s="8"/>
      <c r="E57" s="8"/>
      <c r="F57" s="9"/>
      <c r="G57" s="8"/>
      <c r="H57" s="8"/>
      <c r="I57" s="8" t="str" cm="1">
        <f t="array" ref="I57">_xlfn.SWITCH(H57,"XS",1,"S",2,"M",3,"L",5,"XL",8,"XXL",13,"XXXL",21,"")</f>
        <v/>
      </c>
      <c r="J57" s="8"/>
      <c r="K57" s="8"/>
      <c r="L57" s="8"/>
    </row>
    <row r="58" spans="1:12" x14ac:dyDescent="0.3">
      <c r="A58" s="8"/>
      <c r="B58" s="8"/>
      <c r="C58" s="8"/>
      <c r="D58" s="8"/>
      <c r="E58" s="8"/>
      <c r="F58" s="9"/>
      <c r="G58" s="8"/>
      <c r="H58" s="8"/>
      <c r="I58" s="8" t="str" cm="1">
        <f t="array" ref="I58">_xlfn.SWITCH(H58,"XS",1,"S",2,"M",3,"L",5,"XL",8,"XXL",13,"XXXL",21,"")</f>
        <v/>
      </c>
      <c r="J58" s="8"/>
      <c r="K58" s="8"/>
      <c r="L58" s="8"/>
    </row>
    <row r="59" spans="1:12" x14ac:dyDescent="0.3">
      <c r="A59" s="8"/>
      <c r="B59" s="8"/>
      <c r="C59" s="8"/>
      <c r="D59" s="8"/>
      <c r="E59" s="8"/>
      <c r="F59" s="9"/>
      <c r="G59" s="8"/>
      <c r="H59" s="8"/>
      <c r="I59" s="8" t="str" cm="1">
        <f t="array" ref="I59">_xlfn.SWITCH(H59,"XS",1,"S",2,"M",3,"L",5,"XL",8,"XXL",13,"XXXL",21,"")</f>
        <v/>
      </c>
      <c r="J59" s="8"/>
      <c r="K59" s="8"/>
      <c r="L59" s="8"/>
    </row>
    <row r="60" spans="1:12" x14ac:dyDescent="0.3">
      <c r="A60" s="8"/>
      <c r="B60" s="8"/>
      <c r="C60" s="8"/>
      <c r="D60" s="8"/>
      <c r="E60" s="8"/>
      <c r="F60" s="9"/>
      <c r="G60" s="8"/>
      <c r="H60" s="8"/>
      <c r="I60" s="8" t="str" cm="1">
        <f t="array" ref="I60">_xlfn.SWITCH(H60,"XS",1,"S",2,"M",3,"L",5,"XL",8,"XXL",13,"XXXL",21,"")</f>
        <v/>
      </c>
      <c r="J60" s="8"/>
      <c r="K60" s="8"/>
      <c r="L60" s="8"/>
    </row>
    <row r="61" spans="1:12" x14ac:dyDescent="0.3">
      <c r="A61" s="8"/>
      <c r="B61" s="8"/>
      <c r="C61" s="8"/>
      <c r="D61" s="8"/>
      <c r="E61" s="8"/>
      <c r="F61" s="9"/>
      <c r="G61" s="8"/>
      <c r="H61" s="8"/>
      <c r="I61" s="8" t="str" cm="1">
        <f t="array" ref="I61">_xlfn.SWITCH(H61,"XS",1,"S",2,"M",3,"L",5,"XL",8,"XXL",13,"XXXL",21,"")</f>
        <v/>
      </c>
      <c r="J61" s="8"/>
      <c r="K61" s="8"/>
      <c r="L61" s="8"/>
    </row>
    <row r="62" spans="1:12" x14ac:dyDescent="0.3">
      <c r="A62" s="8"/>
      <c r="B62" s="8"/>
      <c r="C62" s="8"/>
      <c r="D62" s="8"/>
      <c r="E62" s="8"/>
      <c r="F62" s="9"/>
      <c r="G62" s="8"/>
      <c r="H62" s="8"/>
      <c r="I62" s="8" t="str" cm="1">
        <f t="array" ref="I62">_xlfn.SWITCH(H62,"XS",1,"S",2,"M",3,"L",5,"XL",8,"XXL",13,"XXXL",21,"")</f>
        <v/>
      </c>
      <c r="J62" s="8"/>
      <c r="K62" s="8"/>
      <c r="L62" s="8"/>
    </row>
    <row r="63" spans="1:12" x14ac:dyDescent="0.3">
      <c r="A63" s="8"/>
      <c r="B63" s="8"/>
      <c r="C63" s="8"/>
      <c r="D63" s="8"/>
      <c r="E63" s="8"/>
      <c r="F63" s="9"/>
      <c r="G63" s="8"/>
      <c r="H63" s="8"/>
      <c r="I63" s="8" t="str" cm="1">
        <f t="array" ref="I63">_xlfn.SWITCH(H63,"XS",1,"S",2,"M",3,"L",5,"XL",8,"XXL",13,"XXXL",21,"")</f>
        <v/>
      </c>
      <c r="J63" s="8"/>
      <c r="K63" s="8"/>
      <c r="L63" s="8"/>
    </row>
    <row r="64" spans="1:12" x14ac:dyDescent="0.3">
      <c r="A64" s="8"/>
      <c r="B64" s="8"/>
      <c r="C64" s="8"/>
      <c r="D64" s="8"/>
      <c r="E64" s="8"/>
      <c r="F64" s="9"/>
      <c r="G64" s="8"/>
      <c r="H64" s="8"/>
      <c r="I64" s="8" t="str" cm="1">
        <f t="array" ref="I64">_xlfn.SWITCH(H64,"XS",1,"S",2,"M",3,"L",5,"XL",8,"XXL",13,"XXXL",21,"")</f>
        <v/>
      </c>
      <c r="J64" s="8"/>
      <c r="K64" s="8"/>
      <c r="L64" s="8"/>
    </row>
    <row r="65" spans="1:12" x14ac:dyDescent="0.3">
      <c r="A65" s="8"/>
      <c r="B65" s="8"/>
      <c r="C65" s="8"/>
      <c r="D65" s="8"/>
      <c r="E65" s="8"/>
      <c r="F65" s="9"/>
      <c r="G65" s="8"/>
      <c r="H65" s="8"/>
      <c r="I65" s="8" t="str" cm="1">
        <f t="array" ref="I65">_xlfn.SWITCH(H65,"XS",1,"S",2,"M",3,"L",5,"XL",8,"XXL",13,"XXXL",21,"")</f>
        <v/>
      </c>
      <c r="J65" s="8"/>
      <c r="K65" s="8"/>
      <c r="L65" s="8"/>
    </row>
    <row r="66" spans="1:12" x14ac:dyDescent="0.3">
      <c r="A66" s="8"/>
      <c r="B66" s="8"/>
      <c r="C66" s="8"/>
      <c r="D66" s="8"/>
      <c r="E66" s="8"/>
      <c r="F66" s="9"/>
      <c r="G66" s="8"/>
      <c r="H66" s="8"/>
      <c r="I66" s="8" t="str" cm="1">
        <f t="array" ref="I66">_xlfn.SWITCH(H66,"XS",1,"S",2,"M",3,"L",5,"XL",8,"XXL",13,"XXXL",21,"")</f>
        <v/>
      </c>
      <c r="J66" s="8"/>
      <c r="K66" s="8"/>
      <c r="L66" s="8"/>
    </row>
    <row r="67" spans="1:12" x14ac:dyDescent="0.3">
      <c r="A67" s="8"/>
      <c r="B67" s="8"/>
      <c r="C67" s="8"/>
      <c r="D67" s="8"/>
      <c r="E67" s="8"/>
      <c r="F67" s="9"/>
      <c r="G67" s="8"/>
      <c r="H67" s="8"/>
      <c r="I67" s="8" t="str" cm="1">
        <f t="array" ref="I67">_xlfn.SWITCH(H67,"XS",1,"S",2,"M",3,"L",5,"XL",8,"XXL",13,"XXXL",21,"")</f>
        <v/>
      </c>
      <c r="J67" s="8"/>
      <c r="K67" s="8"/>
      <c r="L67" s="8"/>
    </row>
    <row r="68" spans="1:12" x14ac:dyDescent="0.3">
      <c r="A68" s="8"/>
      <c r="B68" s="8"/>
      <c r="C68" s="8"/>
      <c r="D68" s="8"/>
      <c r="E68" s="8"/>
      <c r="F68" s="7"/>
      <c r="G68" s="8"/>
      <c r="H68" s="8"/>
      <c r="I68" s="8" t="str" cm="1">
        <f t="array" ref="I68">_xlfn.SWITCH(H68,"XS",1,"S",2,"M",3,"L",5,"XL",8,"XXL",13,"XXXL",21,"")</f>
        <v/>
      </c>
      <c r="J68" s="8"/>
      <c r="K68" s="8"/>
      <c r="L68" s="8"/>
    </row>
    <row r="69" spans="1:12" x14ac:dyDescent="0.3">
      <c r="A69" s="8"/>
      <c r="B69" s="8"/>
      <c r="C69" s="8"/>
      <c r="D69" s="8"/>
      <c r="E69" s="8"/>
      <c r="F69" s="9"/>
      <c r="G69" s="8"/>
      <c r="H69" s="8"/>
      <c r="I69" s="8" t="str" cm="1">
        <f t="array" ref="I69">_xlfn.SWITCH(H69,"XS",1,"S",2,"M",3,"L",5,"XL",8,"XXL",13,"XXXL",21,"")</f>
        <v/>
      </c>
      <c r="J69" s="8"/>
      <c r="K69" s="8"/>
      <c r="L69" s="8"/>
    </row>
    <row r="70" spans="1:12" x14ac:dyDescent="0.3">
      <c r="A70" s="8"/>
      <c r="B70" s="8"/>
      <c r="C70" s="8"/>
      <c r="D70" s="8"/>
      <c r="E70" s="8"/>
      <c r="F70" s="7"/>
      <c r="G70" s="8"/>
      <c r="H70" s="8"/>
      <c r="I70" s="8" t="str" cm="1">
        <f t="array" ref="I70">_xlfn.SWITCH(H70,"XS",1,"S",2,"M",3,"L",5,"XL",8,"XXL",13,"XXXL",21,"")</f>
        <v/>
      </c>
      <c r="J70" s="8"/>
      <c r="K70" s="8"/>
      <c r="L70" s="8"/>
    </row>
    <row r="71" spans="1:12" x14ac:dyDescent="0.3">
      <c r="A71" s="8"/>
      <c r="B71" s="8"/>
      <c r="C71" s="8"/>
      <c r="D71" s="8"/>
      <c r="E71" s="8"/>
      <c r="F71" s="7"/>
      <c r="G71" s="8"/>
      <c r="H71" s="8"/>
      <c r="I71" s="8" t="str" cm="1">
        <f t="array" ref="I71">_xlfn.SWITCH(H71,"XS",1,"S",2,"M",3,"L",5,"XL",8,"XXL",13,"XXXL",21,"")</f>
        <v/>
      </c>
      <c r="J71" s="8"/>
      <c r="K71" s="8"/>
      <c r="L71" s="8"/>
    </row>
    <row r="72" spans="1:12" x14ac:dyDescent="0.3">
      <c r="A72" s="8"/>
      <c r="B72" s="8"/>
      <c r="C72" s="8"/>
      <c r="D72" s="8"/>
      <c r="E72" s="8"/>
      <c r="F72" s="9"/>
      <c r="G72" s="8"/>
      <c r="H72" s="8"/>
      <c r="I72" s="8" t="str" cm="1">
        <f t="array" ref="I72">_xlfn.SWITCH(H72,"XS",1,"S",2,"M",3,"L",5,"XL",8,"XXL",13,"XXXL",21,"")</f>
        <v/>
      </c>
      <c r="J72" s="8"/>
      <c r="K72" s="8"/>
      <c r="L72" s="8"/>
    </row>
    <row r="73" spans="1:12" x14ac:dyDescent="0.3">
      <c r="A73" s="8"/>
      <c r="B73" s="8"/>
      <c r="C73" s="8"/>
      <c r="D73" s="8"/>
      <c r="E73" s="8"/>
      <c r="F73" s="9"/>
      <c r="G73" s="8"/>
      <c r="H73" s="8"/>
      <c r="I73" s="8" t="str" cm="1">
        <f t="array" ref="I73">_xlfn.SWITCH(H73,"XS",1,"S",2,"M",3,"L",5,"XL",8,"XXL",13,"XXXL",21,"")</f>
        <v/>
      </c>
      <c r="J73" s="8"/>
      <c r="K73" s="8"/>
      <c r="L73" s="8"/>
    </row>
    <row r="74" spans="1:12" x14ac:dyDescent="0.3">
      <c r="A74" s="8"/>
      <c r="B74" s="8"/>
      <c r="C74" s="8"/>
      <c r="D74" s="8"/>
      <c r="E74" s="8"/>
      <c r="F74" s="9"/>
      <c r="G74" s="8"/>
      <c r="H74" s="8"/>
      <c r="I74" s="8" t="str" cm="1">
        <f t="array" ref="I74">_xlfn.SWITCH(H74,"XS",1,"S",2,"M",3,"L",5,"XL",8,"XXL",13,"XXXL",21,"")</f>
        <v/>
      </c>
      <c r="J74" s="8"/>
      <c r="K74" s="8"/>
      <c r="L74" s="8"/>
    </row>
    <row r="75" spans="1:12" x14ac:dyDescent="0.3">
      <c r="A75" s="8"/>
      <c r="B75" s="8"/>
      <c r="C75" s="8"/>
      <c r="D75" s="8"/>
      <c r="E75" s="8"/>
      <c r="F75" s="9"/>
      <c r="G75" s="8"/>
      <c r="H75" s="8"/>
      <c r="I75" s="8" t="str" cm="1">
        <f t="array" ref="I75">_xlfn.SWITCH(H75,"XS",1,"S",2,"M",3,"L",5,"XL",8,"XXL",13,"XXXL",21,"")</f>
        <v/>
      </c>
      <c r="J75" s="8"/>
      <c r="K75" s="8"/>
      <c r="L75" s="8"/>
    </row>
    <row r="76" spans="1:12" x14ac:dyDescent="0.3">
      <c r="A76" s="8"/>
      <c r="B76" s="8"/>
      <c r="C76" s="8"/>
      <c r="D76" s="8"/>
      <c r="E76" s="8"/>
      <c r="F76" s="9"/>
      <c r="G76" s="8"/>
      <c r="H76" s="8"/>
      <c r="I76" s="8" t="str" cm="1">
        <f t="array" ref="I76">_xlfn.SWITCH(H76,"XS",1,"S",2,"M",3,"L",5,"XL",8,"XXL",13,"XXXL",21,"")</f>
        <v/>
      </c>
      <c r="J76" s="8"/>
      <c r="K76" s="8"/>
      <c r="L76" s="8"/>
    </row>
    <row r="77" spans="1:12" x14ac:dyDescent="0.3">
      <c r="A77" s="8"/>
      <c r="B77" s="8"/>
      <c r="C77" s="8"/>
      <c r="D77" s="8"/>
      <c r="E77" s="8"/>
      <c r="F77" s="10"/>
      <c r="G77" s="8"/>
      <c r="H77" s="8"/>
      <c r="I77" s="8" t="str" cm="1">
        <f t="array" ref="I77">_xlfn.SWITCH(H77,"XS",1,"S",2,"M",3,"L",5,"XL",8,"XXL",13,"XXXL",21,"")</f>
        <v/>
      </c>
      <c r="J77" s="8"/>
      <c r="K77" s="8"/>
      <c r="L77" s="8"/>
    </row>
    <row r="78" spans="1:12" x14ac:dyDescent="0.3">
      <c r="A78" s="8"/>
      <c r="B78" s="8"/>
      <c r="C78" s="8"/>
      <c r="D78" s="8"/>
      <c r="E78" s="8"/>
      <c r="F78" s="10"/>
      <c r="G78" s="8"/>
      <c r="H78" s="8"/>
      <c r="I78" s="8" t="str" cm="1">
        <f t="array" ref="I78">_xlfn.SWITCH(H78,"XS",1,"S",2,"M",3,"L",5,"XL",8,"XXL",13,"XXXL",21,"")</f>
        <v/>
      </c>
      <c r="J78" s="8"/>
      <c r="K78" s="8"/>
      <c r="L78" s="8"/>
    </row>
    <row r="79" spans="1:12" x14ac:dyDescent="0.3">
      <c r="A79" s="8"/>
      <c r="B79" s="8"/>
      <c r="C79" s="8"/>
      <c r="D79" s="8"/>
      <c r="E79" s="8"/>
      <c r="F79" s="10"/>
      <c r="G79" s="8"/>
      <c r="H79" s="8"/>
      <c r="I79" s="8" t="str" cm="1">
        <f t="array" ref="I79">_xlfn.SWITCH(H79,"XS",1,"S",2,"M",3,"L",5,"XL",8,"XXL",13,"XXXL",21,"")</f>
        <v/>
      </c>
      <c r="J79" s="8"/>
      <c r="K79" s="8"/>
      <c r="L79" s="8"/>
    </row>
    <row r="80" spans="1:12" x14ac:dyDescent="0.3">
      <c r="A80" s="8"/>
      <c r="B80" s="8"/>
      <c r="C80" s="8"/>
      <c r="D80" s="8"/>
      <c r="E80" s="8"/>
      <c r="F80" s="10"/>
      <c r="G80" s="8"/>
      <c r="H80" s="8"/>
      <c r="I80" s="8" t="str" cm="1">
        <f t="array" ref="I80">_xlfn.SWITCH(H80,"XS",1,"S",2,"M",3,"L",5,"XL",8,"XXL",13,"XXXL",21,"")</f>
        <v/>
      </c>
      <c r="J80" s="8"/>
      <c r="K80" s="8"/>
      <c r="L80" s="8"/>
    </row>
    <row r="81" spans="1:12" x14ac:dyDescent="0.3">
      <c r="A81" s="8"/>
      <c r="B81" s="8"/>
      <c r="C81" s="8"/>
      <c r="D81" s="8"/>
      <c r="E81" s="8"/>
      <c r="F81" s="10"/>
      <c r="G81" s="8"/>
      <c r="H81" s="8"/>
      <c r="I81" s="8" t="str" cm="1">
        <f t="array" ref="I81">_xlfn.SWITCH(H81,"XS",1,"S",2,"M",3,"L",5,"XL",8,"XXL",13,"XXXL",21,"")</f>
        <v/>
      </c>
      <c r="J81" s="8"/>
      <c r="K81" s="8"/>
      <c r="L81" s="8"/>
    </row>
    <row r="82" spans="1:12" x14ac:dyDescent="0.3">
      <c r="A82" s="8"/>
      <c r="B82" s="8"/>
      <c r="C82" s="8"/>
      <c r="D82" s="8"/>
      <c r="E82" s="8"/>
      <c r="F82" s="10"/>
      <c r="G82" s="8"/>
      <c r="H82" s="8"/>
      <c r="I82" s="8" t="str" cm="1">
        <f t="array" ref="I82">_xlfn.SWITCH(H82,"XS",1,"S",2,"M",3,"L",5,"XL",8,"XXL",13,"XXXL",21,"")</f>
        <v/>
      </c>
      <c r="J82" s="8"/>
      <c r="K82" s="8"/>
      <c r="L82" s="8"/>
    </row>
    <row r="83" spans="1:12" x14ac:dyDescent="0.3">
      <c r="A83" s="8"/>
      <c r="B83" s="8"/>
      <c r="C83" s="8"/>
      <c r="D83" s="8"/>
      <c r="E83" s="8"/>
      <c r="F83" s="10"/>
      <c r="G83" s="8"/>
      <c r="H83" s="8"/>
      <c r="I83" s="8" t="str" cm="1">
        <f t="array" ref="I83">_xlfn.SWITCH(H83,"XS",1,"S",2,"M",3,"L",5,"XL",8,"XXL",13,"XXXL",21,"")</f>
        <v/>
      </c>
      <c r="J83" s="8"/>
      <c r="K83" s="8"/>
      <c r="L83" s="8"/>
    </row>
    <row r="84" spans="1:12" x14ac:dyDescent="0.3">
      <c r="A84" s="8"/>
      <c r="B84" s="8"/>
      <c r="C84" s="8"/>
      <c r="D84" s="8"/>
      <c r="E84" s="8"/>
      <c r="F84" s="10"/>
      <c r="G84" s="8"/>
      <c r="H84" s="8"/>
      <c r="I84" s="8" t="str" cm="1">
        <f t="array" ref="I84">_xlfn.SWITCH(H84,"XS",1,"S",2,"M",3,"L",5,"XL",8,"XXL",13,"XXXL",21,"")</f>
        <v/>
      </c>
      <c r="J84" s="8"/>
      <c r="K84" s="8"/>
      <c r="L84" s="8"/>
    </row>
    <row r="85" spans="1:12" x14ac:dyDescent="0.3">
      <c r="A85" s="8"/>
      <c r="B85" s="8"/>
      <c r="C85" s="8"/>
      <c r="D85" s="8"/>
      <c r="E85" s="8"/>
      <c r="F85" s="10"/>
      <c r="G85" s="8"/>
      <c r="H85" s="8"/>
      <c r="I85" s="8" t="str" cm="1">
        <f t="array" ref="I85">_xlfn.SWITCH(H85,"XS",1,"S",2,"M",3,"L",5,"XL",8,"XXL",13,"XXXL",21,"")</f>
        <v/>
      </c>
      <c r="J85" s="8"/>
      <c r="K85" s="8"/>
      <c r="L85" s="8"/>
    </row>
    <row r="86" spans="1:12" x14ac:dyDescent="0.3">
      <c r="A86" s="8"/>
      <c r="B86" s="8"/>
      <c r="C86" s="8"/>
      <c r="D86" s="8"/>
      <c r="E86" s="8"/>
      <c r="F86" s="10"/>
      <c r="G86" s="8"/>
      <c r="H86" s="8"/>
      <c r="I86" s="8" t="str" cm="1">
        <f t="array" ref="I86">_xlfn.SWITCH(H86,"XS",1,"S",2,"M",3,"L",5,"XL",8,"XXL",13,"XXXL",21,"")</f>
        <v/>
      </c>
      <c r="J86" s="8"/>
      <c r="K86" s="8"/>
      <c r="L86" s="8"/>
    </row>
    <row r="87" spans="1:12" x14ac:dyDescent="0.3">
      <c r="A87" s="8"/>
      <c r="B87" s="8"/>
      <c r="C87" s="8"/>
      <c r="D87" s="8"/>
      <c r="E87" s="8"/>
      <c r="F87" s="10"/>
      <c r="G87" s="8"/>
      <c r="H87" s="8"/>
      <c r="I87" s="8" t="str" cm="1">
        <f t="array" ref="I87">_xlfn.SWITCH(H87,"XS",1,"S",2,"M",3,"L",5,"XL",8,"XXL",13,"XXXL",21,"")</f>
        <v/>
      </c>
      <c r="J87" s="8"/>
      <c r="K87" s="8"/>
      <c r="L87" s="8"/>
    </row>
    <row r="88" spans="1:12" x14ac:dyDescent="0.3">
      <c r="A88" s="8"/>
      <c r="B88" s="8"/>
      <c r="C88" s="8"/>
      <c r="D88" s="8"/>
      <c r="E88" s="8"/>
      <c r="F88" s="10"/>
      <c r="G88" s="8"/>
      <c r="H88" s="8"/>
      <c r="I88" s="8" t="str" cm="1">
        <f t="array" ref="I88">_xlfn.SWITCH(H88,"XS",1,"S",2,"M",3,"L",5,"XL",8,"XXL",13,"XXXL",21,"")</f>
        <v/>
      </c>
      <c r="J88" s="8"/>
      <c r="K88" s="8"/>
      <c r="L88" s="8"/>
    </row>
    <row r="89" spans="1:12" x14ac:dyDescent="0.3">
      <c r="A89" s="8"/>
      <c r="B89" s="8"/>
      <c r="C89" s="8"/>
      <c r="D89" s="8"/>
      <c r="E89" s="8"/>
      <c r="F89" s="10"/>
      <c r="G89" s="8"/>
      <c r="H89" s="8"/>
      <c r="I89" s="8" t="str" cm="1">
        <f t="array" ref="I89">_xlfn.SWITCH(H89,"XS",1,"S",2,"M",3,"L",5,"XL",8,"XXL",13,"XXXL",21,"")</f>
        <v/>
      </c>
      <c r="J89" s="8"/>
      <c r="K89" s="8"/>
      <c r="L89" s="8"/>
    </row>
    <row r="90" spans="1:12" x14ac:dyDescent="0.3">
      <c r="A90" s="8"/>
      <c r="B90" s="8"/>
      <c r="C90" s="8"/>
      <c r="D90" s="8"/>
      <c r="E90" s="8"/>
      <c r="F90" s="10"/>
      <c r="G90" s="8"/>
      <c r="H90" s="8"/>
      <c r="I90" s="8" t="str" cm="1">
        <f t="array" ref="I90">_xlfn.SWITCH(H90,"XS",1,"S",2,"M",3,"L",5,"XL",8,"XXL",13,"XXXL",21,"")</f>
        <v/>
      </c>
      <c r="J90" s="8"/>
      <c r="K90" s="8"/>
      <c r="L90" s="8"/>
    </row>
    <row r="91" spans="1:12" x14ac:dyDescent="0.3">
      <c r="A91" s="8"/>
      <c r="B91" s="8"/>
      <c r="C91" s="8"/>
      <c r="D91" s="8"/>
      <c r="E91" s="8"/>
      <c r="F91" s="10"/>
      <c r="G91" s="8"/>
      <c r="H91" s="8"/>
      <c r="I91" s="8" t="str" cm="1">
        <f t="array" ref="I91">_xlfn.SWITCH(H91,"XS",1,"S",2,"M",3,"L",5,"XL",8,"XXL",13,"XXXL",21,"")</f>
        <v/>
      </c>
      <c r="J91" s="8"/>
      <c r="K91" s="8"/>
      <c r="L91" s="8"/>
    </row>
    <row r="92" spans="1:12" x14ac:dyDescent="0.3">
      <c r="A92" s="8"/>
      <c r="B92" s="8"/>
      <c r="C92" s="8"/>
      <c r="D92" s="8"/>
      <c r="E92" s="8"/>
      <c r="F92" s="10"/>
      <c r="G92" s="8"/>
      <c r="H92" s="8"/>
      <c r="I92" s="8" t="str" cm="1">
        <f t="array" ref="I92">_xlfn.SWITCH(H92,"XS",1,"S",2,"M",3,"L",5,"XL",8,"XXL",13,"XXXL",21,"")</f>
        <v/>
      </c>
      <c r="J92" s="8"/>
      <c r="K92" s="8"/>
      <c r="L92" s="8"/>
    </row>
    <row r="93" spans="1:12" x14ac:dyDescent="0.3">
      <c r="A93" s="8"/>
      <c r="B93" s="8"/>
      <c r="C93" s="8"/>
      <c r="D93" s="8"/>
      <c r="E93" s="8"/>
      <c r="F93" s="10"/>
      <c r="G93" s="8"/>
      <c r="H93" s="8"/>
      <c r="I93" s="8" t="str" cm="1">
        <f t="array" ref="I93">_xlfn.SWITCH(H93,"XS",1,"S",2,"M",3,"L",5,"XL",8,"XXL",13,"XXXL",21,"")</f>
        <v/>
      </c>
      <c r="J93" s="8"/>
      <c r="K93" s="8"/>
      <c r="L93" s="8"/>
    </row>
    <row r="94" spans="1:12" x14ac:dyDescent="0.3">
      <c r="A94" s="8"/>
      <c r="B94" s="8"/>
      <c r="C94" s="8"/>
      <c r="D94" s="8"/>
      <c r="E94" s="8"/>
      <c r="F94" s="10"/>
      <c r="G94" s="8"/>
      <c r="H94" s="8"/>
      <c r="I94" s="8" t="str" cm="1">
        <f t="array" ref="I94">_xlfn.SWITCH(H94,"XS",1,"S",2,"M",3,"L",5,"XL",8,"XXL",13,"XXXL",21,"")</f>
        <v/>
      </c>
      <c r="J94" s="8"/>
      <c r="K94" s="8"/>
      <c r="L94" s="8"/>
    </row>
    <row r="95" spans="1:12" x14ac:dyDescent="0.3">
      <c r="A95" s="8"/>
      <c r="B95" s="8"/>
      <c r="C95" s="8"/>
      <c r="D95" s="8"/>
      <c r="E95" s="8"/>
      <c r="F95" s="10"/>
      <c r="G95" s="8"/>
      <c r="H95" s="8"/>
      <c r="I95" s="8" t="str" cm="1">
        <f t="array" ref="I95">_xlfn.SWITCH(H95,"XS",1,"S",2,"M",3,"L",5,"XL",8,"XXL",13,"XXXL",21,"")</f>
        <v/>
      </c>
      <c r="J95" s="8"/>
      <c r="K95" s="8"/>
      <c r="L95" s="8"/>
    </row>
    <row r="96" spans="1:12" x14ac:dyDescent="0.3">
      <c r="A96" s="8"/>
      <c r="B96" s="8"/>
      <c r="C96" s="8"/>
      <c r="D96" s="8"/>
      <c r="E96" s="8"/>
      <c r="F96" s="10"/>
      <c r="G96" s="8"/>
      <c r="H96" s="8"/>
      <c r="I96" s="8" t="str" cm="1">
        <f t="array" ref="I96">_xlfn.SWITCH(H96,"XS",1,"S",2,"M",3,"L",5,"XL",8,"XXL",13,"XXXL",21,"")</f>
        <v/>
      </c>
      <c r="J96" s="8"/>
      <c r="K96" s="8"/>
      <c r="L96" s="8"/>
    </row>
    <row r="97" spans="1:12" x14ac:dyDescent="0.3">
      <c r="A97" s="8"/>
      <c r="B97" s="8"/>
      <c r="C97" s="8"/>
      <c r="D97" s="8"/>
      <c r="E97" s="8"/>
      <c r="F97" s="10"/>
      <c r="G97" s="8"/>
      <c r="H97" s="8"/>
      <c r="I97" s="8" t="str" cm="1">
        <f t="array" ref="I97">_xlfn.SWITCH(H97,"XS",1,"S",2,"M",3,"L",5,"XL",8,"XXL",13,"XXXL",21,"")</f>
        <v/>
      </c>
      <c r="J97" s="8"/>
      <c r="K97" s="8"/>
      <c r="L97" s="8"/>
    </row>
    <row r="98" spans="1:12" x14ac:dyDescent="0.3">
      <c r="A98" s="8"/>
      <c r="B98" s="8"/>
      <c r="C98" s="8"/>
      <c r="D98" s="8"/>
      <c r="E98" s="8"/>
      <c r="F98" s="10"/>
      <c r="G98" s="8"/>
      <c r="H98" s="8"/>
      <c r="I98" s="8" t="str" cm="1">
        <f t="array" ref="I98">_xlfn.SWITCH(H98,"XS",1,"S",2,"M",3,"L",5,"XL",8,"XXL",13,"XXXL",21,"")</f>
        <v/>
      </c>
      <c r="J98" s="8"/>
      <c r="K98" s="8"/>
      <c r="L98" s="8"/>
    </row>
    <row r="99" spans="1:12" x14ac:dyDescent="0.3">
      <c r="A99" s="8"/>
      <c r="B99" s="8"/>
      <c r="C99" s="8"/>
      <c r="D99" s="8"/>
      <c r="E99" s="8"/>
      <c r="F99" s="10"/>
      <c r="G99" s="8"/>
      <c r="H99" s="8"/>
      <c r="I99" s="8" t="str" cm="1">
        <f t="array" ref="I99">_xlfn.SWITCH(H99,"XS",1,"S",2,"M",3,"L",5,"XL",8,"XXL",13,"XXXL",21,"")</f>
        <v/>
      </c>
      <c r="J99" s="8"/>
      <c r="K99" s="8"/>
      <c r="L99" s="8"/>
    </row>
    <row r="100" spans="1:12" x14ac:dyDescent="0.3">
      <c r="A100" s="8"/>
      <c r="B100" s="8"/>
      <c r="C100" s="8"/>
      <c r="D100" s="8"/>
      <c r="E100" s="8"/>
      <c r="F100" s="10"/>
      <c r="G100" s="8"/>
      <c r="H100" s="8"/>
      <c r="I100" s="8" t="str" cm="1">
        <f t="array" ref="I100">_xlfn.SWITCH(H100,"XS",1,"S",2,"M",3,"L",5,"XL",8,"XXL",13,"XXXL",21,"")</f>
        <v/>
      </c>
      <c r="J100" s="8"/>
      <c r="K100" s="8"/>
      <c r="L100" s="8"/>
    </row>
    <row r="101" spans="1:12" x14ac:dyDescent="0.3">
      <c r="A101" s="8"/>
      <c r="B101" s="8"/>
      <c r="C101" s="8"/>
      <c r="D101" s="8"/>
      <c r="E101" s="8"/>
      <c r="F101" s="10"/>
      <c r="G101" s="8"/>
      <c r="H101" s="8"/>
      <c r="I101" s="8" t="str" cm="1">
        <f t="array" ref="I101">_xlfn.SWITCH(H101,"XS",1,"S",2,"M",3,"L",5,"XL",8,"XXL",13,"XXXL",21,"")</f>
        <v/>
      </c>
      <c r="J101" s="8"/>
      <c r="K101" s="8"/>
      <c r="L101" s="8"/>
    </row>
    <row r="102" spans="1:12" x14ac:dyDescent="0.3">
      <c r="A102" s="8"/>
      <c r="B102" s="8"/>
      <c r="C102" s="8"/>
      <c r="D102" s="8"/>
      <c r="E102" s="8"/>
      <c r="F102" s="10"/>
      <c r="G102" s="8"/>
      <c r="H102" s="8"/>
      <c r="I102" s="8" t="str" cm="1">
        <f t="array" ref="I102">_xlfn.SWITCH(H102,"XS",1,"S",2,"M",3,"L",5,"XL",8,"XXL",13,"XXXL",21,"")</f>
        <v/>
      </c>
      <c r="J102" s="8"/>
      <c r="K102" s="8"/>
      <c r="L102" s="8"/>
    </row>
    <row r="103" spans="1:12" x14ac:dyDescent="0.3">
      <c r="A103" s="8"/>
      <c r="B103" s="8"/>
      <c r="C103" s="8"/>
      <c r="D103" s="8"/>
      <c r="E103" s="8"/>
      <c r="F103" s="10"/>
      <c r="G103" s="8"/>
      <c r="H103" s="8"/>
      <c r="I103" s="8" t="str" cm="1">
        <f t="array" ref="I103">_xlfn.SWITCH(H103,"XS",1,"S",2,"M",3,"L",5,"XL",8,"XXL",13,"XXXL",21,"")</f>
        <v/>
      </c>
      <c r="J103" s="8"/>
      <c r="K103" s="8"/>
      <c r="L103" s="8"/>
    </row>
    <row r="104" spans="1:12" x14ac:dyDescent="0.3">
      <c r="A104" s="8"/>
      <c r="B104" s="8"/>
      <c r="C104" s="8"/>
      <c r="D104" s="8"/>
      <c r="E104" s="8"/>
      <c r="F104" s="10"/>
      <c r="G104" s="8"/>
      <c r="H104" s="8"/>
      <c r="I104" s="8" t="str" cm="1">
        <f t="array" ref="I104">_xlfn.SWITCH(H104,"XS",1,"S",2,"M",3,"L",5,"XL",8,"XXL",13,"XXXL",21,"")</f>
        <v/>
      </c>
      <c r="J104" s="8"/>
      <c r="K104" s="8"/>
      <c r="L104" s="8"/>
    </row>
    <row r="105" spans="1:12" x14ac:dyDescent="0.3">
      <c r="A105" s="8"/>
      <c r="B105" s="8"/>
      <c r="C105" s="8"/>
      <c r="D105" s="8"/>
      <c r="E105" s="8"/>
      <c r="F105" s="10"/>
      <c r="G105" s="8"/>
      <c r="H105" s="8"/>
      <c r="I105" s="8" t="str" cm="1">
        <f t="array" ref="I105">_xlfn.SWITCH(H105,"XS",1,"S",2,"M",3,"L",5,"XL",8,"XXL",13,"XXXL",21,"")</f>
        <v/>
      </c>
      <c r="J105" s="8"/>
      <c r="K105" s="8"/>
      <c r="L105" s="8"/>
    </row>
    <row r="106" spans="1:12" x14ac:dyDescent="0.3">
      <c r="A106" s="8"/>
      <c r="B106" s="8"/>
      <c r="C106" s="8"/>
      <c r="D106" s="8"/>
      <c r="E106" s="8"/>
      <c r="F106" s="10"/>
      <c r="G106" s="8"/>
      <c r="H106" s="8"/>
      <c r="I106" s="8" t="str" cm="1">
        <f t="array" ref="I106">_xlfn.SWITCH(H106,"XS",1,"S",2,"M",3,"L",5,"XL",8,"XXL",13,"XXXL",21,"")</f>
        <v/>
      </c>
      <c r="J106" s="8"/>
      <c r="K106" s="8"/>
      <c r="L106" s="8"/>
    </row>
    <row r="107" spans="1:12" x14ac:dyDescent="0.3">
      <c r="A107" s="8"/>
      <c r="B107" s="8"/>
      <c r="C107" s="8"/>
      <c r="D107" s="8"/>
      <c r="E107" s="8"/>
      <c r="F107" s="10"/>
      <c r="G107" s="8"/>
      <c r="H107" s="8"/>
      <c r="I107" s="8" t="str" cm="1">
        <f t="array" ref="I107">_xlfn.SWITCH(H107,"XS",1,"S",2,"M",3,"L",5,"XL",8,"XXL",13,"XXXL",21,"")</f>
        <v/>
      </c>
      <c r="J107" s="8"/>
      <c r="K107" s="8"/>
      <c r="L107" s="8"/>
    </row>
    <row r="108" spans="1:12" x14ac:dyDescent="0.3">
      <c r="A108" s="8"/>
      <c r="B108" s="8"/>
      <c r="C108" s="8"/>
      <c r="D108" s="8"/>
      <c r="E108" s="8"/>
      <c r="F108" s="10"/>
      <c r="G108" s="8"/>
      <c r="H108" s="8"/>
      <c r="I108" s="8" t="str" cm="1">
        <f t="array" ref="I108">_xlfn.SWITCH(H108,"XS",1,"S",2,"M",3,"L",5,"XL",8,"XXL",13,"XXXL",21,"")</f>
        <v/>
      </c>
      <c r="J108" s="8"/>
      <c r="K108" s="8"/>
      <c r="L108" s="8"/>
    </row>
    <row r="109" spans="1:12" x14ac:dyDescent="0.3">
      <c r="A109" s="8"/>
      <c r="B109" s="8"/>
      <c r="C109" s="8"/>
      <c r="D109" s="8"/>
      <c r="E109" s="8"/>
      <c r="F109" s="10"/>
      <c r="G109" s="8"/>
      <c r="H109" s="8"/>
      <c r="I109" s="8" t="str" cm="1">
        <f t="array" ref="I109">_xlfn.SWITCH(H109,"XS",1,"S",2,"M",3,"L",5,"XL",8,"XXL",13,"XXXL",21,"")</f>
        <v/>
      </c>
      <c r="J109" s="8"/>
      <c r="K109" s="8"/>
      <c r="L109" s="8"/>
    </row>
    <row r="110" spans="1:12" x14ac:dyDescent="0.3">
      <c r="A110" s="8"/>
      <c r="B110" s="8"/>
      <c r="C110" s="8"/>
      <c r="D110" s="8"/>
      <c r="E110" s="8"/>
      <c r="F110" s="10"/>
      <c r="G110" s="8"/>
      <c r="H110" s="8"/>
      <c r="I110" s="8" t="str" cm="1">
        <f t="array" ref="I110">_xlfn.SWITCH(H110,"XS",1,"S",2,"M",3,"L",5,"XL",8,"XXL",13,"XXXL",21,"")</f>
        <v/>
      </c>
      <c r="J110" s="8"/>
      <c r="K110" s="8"/>
      <c r="L110" s="8"/>
    </row>
    <row r="111" spans="1:12" x14ac:dyDescent="0.3">
      <c r="A111" s="8"/>
      <c r="B111" s="8"/>
      <c r="C111" s="8"/>
      <c r="D111" s="8"/>
      <c r="E111" s="8"/>
      <c r="F111" s="10"/>
      <c r="G111" s="8"/>
      <c r="H111" s="8"/>
      <c r="I111" s="8" t="str" cm="1">
        <f t="array" ref="I111">_xlfn.SWITCH(H111,"XS",1,"S",2,"M",3,"L",5,"XL",8,"XXL",13,"XXXL",21,"")</f>
        <v/>
      </c>
      <c r="J111" s="8"/>
      <c r="K111" s="8"/>
      <c r="L111" s="8"/>
    </row>
    <row r="112" spans="1:12" x14ac:dyDescent="0.3">
      <c r="A112" s="8"/>
      <c r="B112" s="8"/>
      <c r="C112" s="8"/>
      <c r="D112" s="8"/>
      <c r="E112" s="8"/>
      <c r="F112" s="10"/>
      <c r="G112" s="8"/>
      <c r="H112" s="8"/>
      <c r="I112" s="8" t="str" cm="1">
        <f t="array" ref="I112">_xlfn.SWITCH(H112,"XS",1,"S",2,"M",3,"L",5,"XL",8,"XXL",13,"XXXL",21,"")</f>
        <v/>
      </c>
      <c r="J112" s="8"/>
      <c r="K112" s="8"/>
      <c r="L112" s="8"/>
    </row>
  </sheetData>
  <autoFilter ref="E1:E112" xr:uid="{00000000-0001-0000-0000-000000000000}"/>
  <phoneticPr fontId="4" type="noConversion"/>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89B43-8ACA-4B5D-A185-0146C384427F}">
  <dimension ref="A1:L10"/>
  <sheetViews>
    <sheetView tabSelected="1" zoomScale="103" workbookViewId="0">
      <selection activeCell="E13" sqref="E13"/>
    </sheetView>
  </sheetViews>
  <sheetFormatPr defaultRowHeight="14.4" x14ac:dyDescent="0.3"/>
  <cols>
    <col min="1" max="1" width="4.88671875" style="2" bestFit="1" customWidth="1"/>
    <col min="2" max="2" width="10.88671875" style="2" bestFit="1" customWidth="1"/>
    <col min="3" max="3" width="9.77734375" style="5" customWidth="1"/>
    <col min="4" max="4" width="10.77734375" style="2" customWidth="1"/>
    <col min="5" max="5" width="8.88671875" style="2" customWidth="1"/>
  </cols>
  <sheetData>
    <row r="1" spans="1:12" ht="43.2" x14ac:dyDescent="0.3">
      <c r="A1" s="2" t="s">
        <v>12</v>
      </c>
      <c r="B1" s="2" t="s">
        <v>62</v>
      </c>
      <c r="C1" s="1" t="s">
        <v>13</v>
      </c>
      <c r="D1" s="1" t="s">
        <v>14</v>
      </c>
      <c r="E1" s="1" t="s">
        <v>15</v>
      </c>
    </row>
    <row r="2" spans="1:12" x14ac:dyDescent="0.3">
      <c r="A2" s="2">
        <v>0</v>
      </c>
      <c r="B2" s="14">
        <v>46237</v>
      </c>
      <c r="C2" s="4">
        <f>82-SUM(E$2:E2)</f>
        <v>82</v>
      </c>
      <c r="D2" s="1">
        <f xml:space="preserve"> 82*(1-1/8*A2)</f>
        <v>82</v>
      </c>
      <c r="E2" s="1">
        <v>0</v>
      </c>
    </row>
    <row r="3" spans="1:12" x14ac:dyDescent="0.3">
      <c r="A3" s="2">
        <v>1</v>
      </c>
      <c r="B3" s="14">
        <v>46238</v>
      </c>
      <c r="C3" s="4">
        <f>82-SUM(E$2:E3)</f>
        <v>74</v>
      </c>
      <c r="D3" s="1">
        <f t="shared" ref="D3:D10" si="0" xml:space="preserve"> 82*(1-1/8*A3)</f>
        <v>71.75</v>
      </c>
      <c r="E3" s="2">
        <v>8</v>
      </c>
    </row>
    <row r="4" spans="1:12" x14ac:dyDescent="0.3">
      <c r="A4" s="2">
        <v>2</v>
      </c>
      <c r="B4" s="14">
        <v>46239</v>
      </c>
      <c r="C4" s="4">
        <f>82-SUM(E$2:E4)</f>
        <v>66</v>
      </c>
      <c r="D4" s="1">
        <f t="shared" si="0"/>
        <v>61.5</v>
      </c>
      <c r="E4" s="2">
        <v>8</v>
      </c>
      <c r="L4" s="3"/>
    </row>
    <row r="5" spans="1:12" x14ac:dyDescent="0.3">
      <c r="A5" s="2">
        <v>3</v>
      </c>
      <c r="B5" s="14">
        <v>46240</v>
      </c>
      <c r="C5" s="4">
        <f>82-SUM(E$2:E5)</f>
        <v>66</v>
      </c>
      <c r="D5" s="1">
        <f t="shared" si="0"/>
        <v>51.25</v>
      </c>
      <c r="E5" s="2">
        <v>0</v>
      </c>
    </row>
    <row r="6" spans="1:12" x14ac:dyDescent="0.3">
      <c r="A6" s="2">
        <v>4</v>
      </c>
      <c r="B6" s="14">
        <v>46241</v>
      </c>
      <c r="C6" s="4">
        <f>82-SUM(E$2:E6)</f>
        <v>66</v>
      </c>
      <c r="D6" s="1">
        <f t="shared" si="0"/>
        <v>41</v>
      </c>
      <c r="E6" s="2">
        <v>0</v>
      </c>
    </row>
    <row r="7" spans="1:12" x14ac:dyDescent="0.3">
      <c r="A7" s="2">
        <v>5</v>
      </c>
      <c r="B7" s="14">
        <v>46244</v>
      </c>
      <c r="C7" s="4">
        <f>82-SUM(E$2:E7)</f>
        <v>62</v>
      </c>
      <c r="D7" s="1">
        <f t="shared" si="0"/>
        <v>30.75</v>
      </c>
      <c r="E7" s="2">
        <v>4</v>
      </c>
    </row>
    <row r="8" spans="1:12" x14ac:dyDescent="0.3">
      <c r="A8" s="2">
        <v>6</v>
      </c>
      <c r="B8" s="14">
        <v>46245</v>
      </c>
      <c r="C8" s="4">
        <f>82-SUM(E$2:E8)</f>
        <v>52</v>
      </c>
      <c r="D8" s="1">
        <f t="shared" si="0"/>
        <v>20.5</v>
      </c>
      <c r="E8" s="2">
        <v>10</v>
      </c>
    </row>
    <row r="9" spans="1:12" x14ac:dyDescent="0.3">
      <c r="A9" s="2">
        <v>7</v>
      </c>
      <c r="B9" s="14">
        <v>46246</v>
      </c>
      <c r="C9" s="4">
        <f>82-SUM(E$2:E9)</f>
        <v>37</v>
      </c>
      <c r="D9" s="1">
        <f t="shared" si="0"/>
        <v>10.25</v>
      </c>
      <c r="E9" s="2">
        <v>15</v>
      </c>
    </row>
    <row r="10" spans="1:12" x14ac:dyDescent="0.3">
      <c r="A10" s="2">
        <v>8</v>
      </c>
      <c r="B10" s="14">
        <v>46247</v>
      </c>
      <c r="C10" s="4">
        <f>82-SUM(E$2:E10)</f>
        <v>0</v>
      </c>
      <c r="D10" s="1">
        <f t="shared" si="0"/>
        <v>0</v>
      </c>
      <c r="E10" s="2">
        <v>37</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Sprint 01</vt:lpstr>
      <vt:lpstr>Sprint 01 Burndown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sayanb0978@gmail.com</cp:lastModifiedBy>
  <dcterms:created xsi:type="dcterms:W3CDTF">2026-01-01T14:00:11Z</dcterms:created>
  <dcterms:modified xsi:type="dcterms:W3CDTF">2026-08-14T03:44:22Z</dcterms:modified>
</cp:coreProperties>
</file>