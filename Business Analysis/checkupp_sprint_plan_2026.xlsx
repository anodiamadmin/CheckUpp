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heckUpp\Business Analysis\"/>
    </mc:Choice>
  </mc:AlternateContent>
  <xr:revisionPtr revIDLastSave="0" documentId="13_ncr:1_{6FA343AF-9CCF-419A-9A25-3D66D9729CF9}" xr6:coauthVersionLast="47" xr6:coauthVersionMax="47" xr10:uidLastSave="{00000000-0000-0000-0000-000000000000}"/>
  <bookViews>
    <workbookView xWindow="1440" yWindow="1224" windowWidth="21600"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5" l="1" a="1"/>
  <c r="I19" i="5"/>
  <c r="I18" i="5" a="1"/>
  <c r="I18" i="5" s="1"/>
  <c r="D3" i="6"/>
  <c r="D4" i="6"/>
  <c r="D5" i="6"/>
  <c r="D6" i="6"/>
  <c r="D7" i="6"/>
  <c r="D8" i="6"/>
  <c r="D9" i="6"/>
  <c r="D10" i="6"/>
  <c r="C10" i="6"/>
  <c r="C3" i="6"/>
  <c r="C4" i="6"/>
  <c r="C5" i="6"/>
  <c r="C6" i="6"/>
  <c r="C7" i="6"/>
  <c r="C8" i="6"/>
  <c r="C9" i="6"/>
  <c r="D2" i="6"/>
  <c r="C2" i="6"/>
  <c r="I17" i="5" a="1"/>
  <c r="I17" i="5" s="1"/>
  <c r="I15" i="5" a="1"/>
  <c r="I15" i="5" s="1"/>
  <c r="I16" i="5" a="1"/>
  <c r="I16" i="5" s="1"/>
  <c r="I14" i="5" a="1"/>
  <c r="I14" i="5" s="1"/>
  <c r="I13" i="5" a="1"/>
  <c r="I13" i="5" s="1"/>
  <c r="I8" i="5" a="1"/>
  <c r="I8" i="5" s="1"/>
  <c r="I3" i="5" a="1"/>
  <c r="I3" i="5" s="1"/>
  <c r="I4" i="5" a="1"/>
  <c r="I4" i="5" s="1"/>
  <c r="I5" i="5" a="1"/>
  <c r="I5" i="5" s="1"/>
  <c r="I6" i="5" a="1"/>
  <c r="I6" i="5" s="1"/>
  <c r="I7" i="5" a="1"/>
  <c r="I7" i="5" s="1"/>
  <c r="I9" i="5" a="1"/>
  <c r="I9" i="5" s="1"/>
  <c r="I10" i="5" a="1"/>
  <c r="I10" i="5" s="1"/>
  <c r="I11" i="5" a="1"/>
  <c r="I11" i="5" s="1"/>
  <c r="I12" i="5" a="1"/>
  <c r="I12" i="5" s="1"/>
  <c r="I113" i="5" a="1"/>
  <c r="I113" i="5" s="1"/>
  <c r="I112" i="5" a="1"/>
  <c r="I112" i="5" s="1"/>
  <c r="I111" i="5" a="1"/>
  <c r="I111" i="5" s="1"/>
  <c r="I110" i="5" a="1"/>
  <c r="I110" i="5" s="1"/>
  <c r="I109" i="5" a="1"/>
  <c r="I109" i="5" s="1"/>
  <c r="I108" i="5" a="1"/>
  <c r="I108" i="5" s="1"/>
  <c r="I107" i="5" a="1"/>
  <c r="I107" i="5" s="1"/>
  <c r="I106" i="5" a="1"/>
  <c r="I106" i="5" s="1"/>
  <c r="I105" i="5"/>
  <c r="I105" i="5" a="1"/>
  <c r="I104" i="5" a="1"/>
  <c r="I104" i="5" s="1"/>
  <c r="I103" i="5" a="1"/>
  <c r="I103" i="5" s="1"/>
  <c r="I102" i="5"/>
  <c r="I102" i="5" a="1"/>
  <c r="I101" i="5" a="1"/>
  <c r="I101" i="5" s="1"/>
  <c r="I100" i="5" a="1"/>
  <c r="I100" i="5" s="1"/>
  <c r="I99" i="5" a="1"/>
  <c r="I99" i="5" s="1"/>
  <c r="I98" i="5" a="1"/>
  <c r="I98" i="5" s="1"/>
  <c r="I97" i="5" a="1"/>
  <c r="I97" i="5" s="1"/>
  <c r="I96" i="5" a="1"/>
  <c r="I96" i="5" s="1"/>
  <c r="I95" i="5" a="1"/>
  <c r="I95" i="5" s="1"/>
  <c r="I94" i="5" a="1"/>
  <c r="I94" i="5" s="1"/>
  <c r="I93" i="5" a="1"/>
  <c r="I93" i="5" s="1"/>
  <c r="I92" i="5" a="1"/>
  <c r="I92" i="5" s="1"/>
  <c r="I91" i="5"/>
  <c r="I91" i="5" a="1"/>
  <c r="I90" i="5" a="1"/>
  <c r="I90" i="5" s="1"/>
  <c r="I89" i="5"/>
  <c r="I89" i="5" a="1"/>
  <c r="I88" i="5" a="1"/>
  <c r="I88" i="5" s="1"/>
  <c r="I87" i="5" a="1"/>
  <c r="I87" i="5" s="1"/>
  <c r="I86" i="5" a="1"/>
  <c r="I86" i="5" s="1"/>
  <c r="I85" i="5" a="1"/>
  <c r="I85" i="5" s="1"/>
  <c r="I84" i="5" a="1"/>
  <c r="I84" i="5" s="1"/>
  <c r="I83" i="5" a="1"/>
  <c r="I83" i="5" s="1"/>
  <c r="I82" i="5" a="1"/>
  <c r="I82" i="5" s="1"/>
  <c r="I81" i="5" a="1"/>
  <c r="I81" i="5" s="1"/>
  <c r="I80" i="5" a="1"/>
  <c r="I80" i="5" s="1"/>
  <c r="I79" i="5"/>
  <c r="I79" i="5" a="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c r="I37" i="5" a="1"/>
  <c r="I36" i="5" a="1"/>
  <c r="I36" i="5" s="1"/>
  <c r="I35" i="5" a="1"/>
  <c r="I35" i="5" s="1"/>
  <c r="I34" i="5" a="1"/>
  <c r="I34" i="5" s="1"/>
  <c r="I33" i="5" a="1"/>
  <c r="I33" i="5" s="1"/>
  <c r="I32" i="5" a="1"/>
  <c r="I32" i="5" s="1"/>
  <c r="I31" i="5" a="1"/>
  <c r="I31" i="5" s="1"/>
  <c r="I30" i="5" a="1"/>
  <c r="I30" i="5" s="1"/>
  <c r="I29" i="5" a="1"/>
  <c r="I29" i="5" s="1"/>
  <c r="I28" i="5" a="1"/>
  <c r="I28" i="5" s="1"/>
  <c r="I27" i="5" a="1"/>
  <c r="I2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<sst xmlns="http://schemas.openxmlformats.org/spreadsheetml/2006/main" count="337" uniqueCount="130">
  <si>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</si>
  <si>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</si>
  <si>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</si>
  <si>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</si>
  <si>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</si>
  <si>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</si>
  <si>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</si>
  <si>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</si>
  <si>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</si>
  <si>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</si>
  <si>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</si>
  <si>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</si>
  <si>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</si>
  <si>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</si>
  <si>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</si>
  <si>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</si>
  <si>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</si>
  <si>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</si>
  <si>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</si>
  <si>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</si>
  <si>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</si>
  <si>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</si>
  <si>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</si>
  <si>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</si>
  <si>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</si>
  <si>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</si>
  <si>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</si>
  <si>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</si>
  <si>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</si>
  <si>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</si>
  <si>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</si>
  <si>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</si>
  <si>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</si>
  <si>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</si>
  <si>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</si>
  <si>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</si>
  <si>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</si>
  <si>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</si>
  <si>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</si>
  <si>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</si>
  <si>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</si>
  <si>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</si>
  <si>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</si>
  <si>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</si>
  <si>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</si>
  <si>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</si>
  <si>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</si>
  <si>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</si>
  <si>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</si>
  <si>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</si>
  <si>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</si>
  <si>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</si>
  <si>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</si>
  <si>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</si>
  <si>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</si>
  <si>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</si>
  <si>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</si>
  <si>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</si>
  <si>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</si>
  <si>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</si>
  <si>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</si>
  <si>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</si>
  <si>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</si>
  <si>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</si>
  <si>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</si>
  <si>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</si>
  <si>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</si>
  <si>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</si>
  <si>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</si>
  <si>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</si>
  <si>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</si>
  <si>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</si>
  <si>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</si>
  <si>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</si>
  <si>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</si>
  <si>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</si>
  <si>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</si>
  <si>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</si>
  <si>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</si>
  <si>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</si>
  <si>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</si>
  <si>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</si>
  <si>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</si>
  <si>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</si>
  <si>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</si>
  <si>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</si>
  <si>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</si>
  <si>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</si>
  <si>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View e-script links</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</si>
  <si>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</si>
  <si>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</si>
  <si>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</si>
  <si>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</si>
  <si>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</si>
  <si>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</si>
  <si>
    <t xml:space="preserve"> Direct Document Download</t>
  </si>
  <si>
    <t>6.1, 6.6</t>
  </si>
  <si>
    <t>Document List View</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</si>
  <si>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to map over the fetched data, displaying the document name and upload date.
3. **Implement responsive card layout:**
* **Large Screens:** Display standalone icons for "Share" and "Download", plus a vertical three-dot (kebab) menu. Expanding the kebab menu reveals "View" and "Delete".
* **Small Screens (Edge Case):** Default to showing only the "Share" icon and the kebab menu. Expanding the menu reveals "View", "Download", and "Delete".
4. Implement `checkupp-mobile-main/components/EmptyState.tsx` if the query returns an empty array.
* **Acceptance Criteria Covered**: US 6.1 (AC 5, 6), US 6.6 (AC 1, 2, 3)</t>
  </si>
  <si>
    <t xml:space="preserve"> Document Viewer Integration</t>
  </si>
  <si>
    <t>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4. **Enforce explicit removal:** Ensure the "Download" button is strictly removed or disabled within this view screen, as downloading is now an independent card action.
* **Acceptance Criteria Covered**: US 6.4 (AC 1, 2, 3)</t>
  </si>
  <si>
    <t>Implement Direct Document Download
* **Target Files**:
* `checkupp-mobile-main/app/(tabs)/wallet.tsx`
* `checkupp-mobile-main/lib/utils/fileUtils.ts` (Existing or create new)
* **Description**:
1. Implement a download handler triggered directly from the "Download" option on the document card (or within its expanded menu).
2. Utilize `expo-file-system` to securely fetch and save the document to the user's local device storage without requiring them to open it first.
3. On success, trigger a `CustomToast.tsx` message displaying: "Download complete".
4. On failure, trigger an error message prompting the user to try again.
* **Acceptance Criteria Covered**: US 6.5 (AC 1, 2, 3, 4)</t>
  </si>
  <si>
    <t>7.1, 7.2, 7.5</t>
  </si>
  <si>
    <t>* **Target Files**:
* `checkupp-mobile-main/app/(tabs)/wallet.tsx`
* `checkupp-mobile-main/lib/features/documents/queries.ts`
* **Description**:
1. Fetch the links using `GET /me/wallet/documents` filtered by `fileType=LINK` or `documentType=E-SCRIPT`.
2. Render the links with their title/description and creation date.
3. **Implement responsive card layout:**
* **Large Screens:** Display standalone buttons for "Share", "Open", and "Delete".
* **Small Screens (Edge Case):** Display only the "Share" icon alongside a Hamburger Menu (three vertically stacked dots). Expanding the menu reveals "Open" and "Delete".
4. Wire the "Open" action to open the link using `expo-web-browser` (`WebBrowser.openBrowserAsync`).
5. Wrap the view action in a `try/catch` returning the error toast: "Could not open Expanded View, try again".
* **Acceptance Criteria Covered**: US 7.1 (AC 2, 4, 5), US 7.2 (AC 1), US 7.5 (AC 1, 2, 3)</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</si>
  <si>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</si>
  <si>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</si>
  <si>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</si>
  <si>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</si>
  <si>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</si>
  <si>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</si>
  <si>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</si>
  <si>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</si>
  <si>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</si>
  <si>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</si>
  <si>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</si>
  <si>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</si>
  <si>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</si>
  <si>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</si>
  <si>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</si>
  <si>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</si>
  <si>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</si>
  <si>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</si>
  <si>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</si>
  <si>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</si>
  <si>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</si>
  <si>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19.3 / 20.3 / 20.4</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</si>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</sst>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10">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54</c:v>
                </c:pt>
                <c:pt idx="1">
                  <c:v>54</c:v>
                </c:pt>
                <c:pt idx="2">
                  <c:v>54</c:v>
                </c:pt>
                <c:pt idx="3">
                  <c:v>54</c:v>
                </c:pt>
                <c:pt idx="4">
                  <c:v>54</c:v>
                </c:pt>
                <c:pt idx="5">
                  <c:v>54</c:v>
                </c:pt>
                <c:pt idx="6">
                  <c:v>54</c:v>
                </c:pt>
                <c:pt idx="7">
                  <c:v>54</c:v>
                </c:pt>
                <c:pt idx="8">
                  <c:v>54</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54</c:v>
                </c:pt>
                <c:pt idx="1">
                  <c:v>47.25</c:v>
                </c:pt>
                <c:pt idx="2">
                  <c:v>40.5</c:v>
                </c:pt>
                <c:pt idx="3">
                  <c:v>33.75</c:v>
                </c:pt>
                <c:pt idx="4">
                  <c:v>27</c:v>
                </c:pt>
                <c:pt idx="5">
                  <c:v>20.25</c:v>
                </c:pt>
                <c:pt idx="6">
                  <c:v>13.5</c:v>
                </c:pt>
                <c:pt idx="7">
                  <c:v>6.75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3"/>
  <sheetViews>
    <sheetView tabSelected="1" topLeftCell="A21" workbookViewId="0">
      <selection activeCell="D23" sqref="D2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76</v>
      </c>
      <c r="C2" s="15">
        <v>6.1</v>
      </c>
      <c r="D2" s="15" t="s">
        <v>77</v>
      </c>
      <c r="E2" s="15" t="s">
        <v>20</v>
      </c>
      <c r="F2" s="16" t="s">
        <v>78</v>
      </c>
      <c r="G2" s="15" t="s">
        <v>116</v>
      </c>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t="s">
        <v>116</v>
      </c>
      <c r="H3" s="15" t="s">
        <v>30</v>
      </c>
      <c r="I3" s="15">
        <f t="array" ref="I3">_xlfn.SWITCH(H3,"XS",1,"S",2,"M",3,"L",5,"XL",8,"XXL",13,"XXXL",21,"")</f>
        <v>5</v>
      </c>
      <c r="J3" s="15" t="s">
        <v>79</v>
      </c>
      <c r="K3" s="15"/>
      <c r="L3" s="15"/>
    </row>
    <row r="4" spans="1:12" ht="216" x14ac:dyDescent="0.3">
      <c r="A4" s="15">
        <v>3</v>
      </c>
      <c r="B4" s="15" t="s">
        <v>76</v>
      </c>
      <c r="C4" s="15" t="s">
        <v>96</v>
      </c>
      <c r="D4" s="15" t="s">
        <v>97</v>
      </c>
      <c r="E4" s="15" t="s">
        <v>20</v>
      </c>
      <c r="F4" s="16" t="s">
        <v>98</v>
      </c>
      <c r="G4" s="15" t="s">
        <v>116</v>
      </c>
      <c r="H4" s="15" t="s">
        <v>27</v>
      </c>
      <c r="I4" s="15">
        <f t="array" ref="I4">_xlfn.SWITCH(H4,"XS",1,"S",2,"M",3,"L",5,"XL",8,"XXL",13,"XXXL",21,"")</f>
        <v>3</v>
      </c>
      <c r="J4" s="15" t="s">
        <v>79</v>
      </c>
      <c r="K4" s="15"/>
      <c r="L4" s="15"/>
    </row>
    <row r="5" spans="1:12" ht="172.8" x14ac:dyDescent="0.3">
      <c r="A5" s="15">
        <v>4</v>
      </c>
      <c r="B5" s="15" t="s">
        <v>76</v>
      </c>
      <c r="C5" s="15">
        <v>6.4</v>
      </c>
      <c r="D5" s="15" t="s">
        <v>99</v>
      </c>
      <c r="E5" s="15" t="s">
        <v>20</v>
      </c>
      <c r="F5" s="16" t="s">
        <v>100</v>
      </c>
      <c r="G5" s="15" t="s">
        <v>116</v>
      </c>
      <c r="H5" s="15" t="s">
        <v>27</v>
      </c>
      <c r="I5" s="15">
        <f t="array" ref="I5">_xlfn.SWITCH(H5,"XS",1,"S",2,"M",3,"L",5,"XL",8,"XXL",13,"XXXL",21,"")</f>
        <v>3</v>
      </c>
      <c r="J5" s="15" t="s">
        <v>79</v>
      </c>
      <c r="K5" s="15"/>
      <c r="L5" s="15"/>
    </row>
    <row r="6" spans="1:12" ht="158.4" x14ac:dyDescent="0.3">
      <c r="A6" s="15">
        <v>5</v>
      </c>
      <c r="B6" s="15" t="s">
        <v>76</v>
      </c>
      <c r="C6" s="15">
        <v>6.2</v>
      </c>
      <c r="D6" s="15" t="s">
        <v>81</v>
      </c>
      <c r="E6" s="15" t="s">
        <v>20</v>
      </c>
      <c r="F6" s="16" t="s">
        <v>82</v>
      </c>
      <c r="G6" s="15" t="s">
        <v>116</v>
      </c>
      <c r="H6" s="15" t="s">
        <v>27</v>
      </c>
      <c r="I6" s="15">
        <f t="array" ref="I6">_xlfn.SWITCH(H6,"XS",1,"S",2,"M",3,"L",5,"XL",8,"XXL",13,"XXXL",21,"")</f>
        <v>3</v>
      </c>
      <c r="J6" s="15" t="s">
        <v>79</v>
      </c>
      <c r="K6" s="15"/>
      <c r="L6" s="15"/>
    </row>
    <row r="7" spans="1:12" ht="172.8" x14ac:dyDescent="0.3">
      <c r="A7" s="15">
        <v>6</v>
      </c>
      <c r="B7" s="15" t="s">
        <v>76</v>
      </c>
      <c r="C7" s="15">
        <v>6.3</v>
      </c>
      <c r="D7" s="15" t="s">
        <v>83</v>
      </c>
      <c r="E7" s="15" t="s">
        <v>20</v>
      </c>
      <c r="F7" s="16" t="s">
        <v>84</v>
      </c>
      <c r="G7" s="15" t="s">
        <v>116</v>
      </c>
      <c r="H7" s="15" t="s">
        <v>23</v>
      </c>
      <c r="I7" s="15">
        <f t="array" ref="I7">_xlfn.SWITCH(H7,"XS",1,"S",2,"M",3,"L",5,"XL",8,"XXL",13,"XXXL",21,"")</f>
        <v>2</v>
      </c>
      <c r="J7" s="15" t="s">
        <v>79</v>
      </c>
      <c r="K7" s="15"/>
      <c r="L7" s="15"/>
    </row>
    <row r="8" spans="1:12" ht="172.8" x14ac:dyDescent="0.3">
      <c r="A8" s="15">
        <v>7</v>
      </c>
      <c r="B8" s="15" t="s">
        <v>76</v>
      </c>
      <c r="C8" s="15">
        <v>6.5</v>
      </c>
      <c r="D8" s="15" t="s">
        <v>95</v>
      </c>
      <c r="E8" s="15" t="s">
        <v>20</v>
      </c>
      <c r="F8" s="16" t="s">
        <v>101</v>
      </c>
      <c r="G8" s="15" t="s">
        <v>116</v>
      </c>
      <c r="H8" s="15" t="s">
        <v>27</v>
      </c>
      <c r="I8" s="15">
        <f t="array" ref="I8">_xlfn.SWITCH(H8,"XS",1,"S",2,"M",3,"L",5,"XL",8,"XXL",13,"XXXL",21,"")</f>
        <v>3</v>
      </c>
      <c r="J8" s="15" t="s">
        <v>79</v>
      </c>
      <c r="K8" s="15"/>
      <c r="L8" s="15"/>
    </row>
    <row r="9" spans="1:12" ht="172.8" x14ac:dyDescent="0.3">
      <c r="A9" s="17">
        <v>8</v>
      </c>
      <c r="B9" s="17" t="s">
        <v>85</v>
      </c>
      <c r="C9" s="17">
        <v>7.1</v>
      </c>
      <c r="D9" s="17" t="s">
        <v>86</v>
      </c>
      <c r="E9" s="17" t="s">
        <v>20</v>
      </c>
      <c r="F9" s="18" t="s">
        <v>87</v>
      </c>
      <c r="G9" s="17" t="s">
        <v>116</v>
      </c>
      <c r="H9" s="17" t="s">
        <v>27</v>
      </c>
      <c r="I9" s="17">
        <f t="array" ref="I9">_xlfn.SWITCH(H9,"XS",1,"S",2,"M",3,"L",5,"XL",8,"XXL",13,"XXXL",21,"")</f>
        <v>3</v>
      </c>
      <c r="J9" s="17" t="s">
        <v>79</v>
      </c>
      <c r="K9" s="17"/>
      <c r="L9" s="17"/>
    </row>
    <row r="10" spans="1:12" ht="187.2" x14ac:dyDescent="0.3">
      <c r="A10" s="17">
        <v>9</v>
      </c>
      <c r="B10" s="17" t="s">
        <v>85</v>
      </c>
      <c r="C10" s="17" t="s">
        <v>102</v>
      </c>
      <c r="D10" s="17" t="s">
        <v>88</v>
      </c>
      <c r="E10" s="17" t="s">
        <v>20</v>
      </c>
      <c r="F10" s="18" t="s">
        <v>103</v>
      </c>
      <c r="G10" s="17" t="s">
        <v>116</v>
      </c>
      <c r="H10" s="17" t="s">
        <v>27</v>
      </c>
      <c r="I10" s="17">
        <f t="array" ref="I10">_xlfn.SWITCH(H10,"XS",1,"S",2,"M",3,"L",5,"XL",8,"XXL",13,"XXXL",21,"")</f>
        <v>3</v>
      </c>
      <c r="J10" s="17" t="s">
        <v>79</v>
      </c>
      <c r="K10" s="17"/>
      <c r="L10" s="17"/>
    </row>
    <row r="11" spans="1:12" ht="158.4" x14ac:dyDescent="0.3">
      <c r="A11" s="17">
        <v>10</v>
      </c>
      <c r="B11" s="17" t="s">
        <v>85</v>
      </c>
      <c r="C11" s="17" t="s">
        <v>89</v>
      </c>
      <c r="D11" s="17" t="s">
        <v>90</v>
      </c>
      <c r="E11" s="17" t="s">
        <v>20</v>
      </c>
      <c r="F11" s="18" t="s">
        <v>91</v>
      </c>
      <c r="G11" s="17" t="s">
        <v>116</v>
      </c>
      <c r="H11" s="17" t="s">
        <v>23</v>
      </c>
      <c r="I11" s="17">
        <f t="array" ref="I11">_xlfn.SWITCH(H11,"XS",1,"S",2,"M",3,"L",5,"XL",8,"XXL",13,"XXXL",21,"")</f>
        <v>2</v>
      </c>
      <c r="J11" s="17" t="s">
        <v>79</v>
      </c>
      <c r="K11" s="17"/>
      <c r="L11" s="17"/>
    </row>
    <row r="12" spans="1:12" ht="230.4" x14ac:dyDescent="0.3">
      <c r="A12" s="19">
        <v>11</v>
      </c>
      <c r="B12" s="19" t="s">
        <v>92</v>
      </c>
      <c r="C12" s="19"/>
      <c r="D12" s="19" t="s">
        <v>93</v>
      </c>
      <c r="E12" s="19" t="s">
        <v>22</v>
      </c>
      <c r="F12" s="20" t="s">
        <v>94</v>
      </c>
      <c r="G12" s="19" t="s">
        <v>116</v>
      </c>
      <c r="H12" s="19" t="s">
        <v>30</v>
      </c>
      <c r="I12" s="19">
        <f t="array" ref="I12">_xlfn.SWITCH(H12,"XS",1,"S",2,"M",3,"L",5,"XL",8,"XXL",13,"XXXL",21,"")</f>
        <v>5</v>
      </c>
      <c r="J12" s="19" t="s">
        <v>79</v>
      </c>
      <c r="K12" s="19"/>
      <c r="L12" s="19"/>
    </row>
    <row r="13" spans="1:12" ht="201.6" x14ac:dyDescent="0.3">
      <c r="A13" s="21">
        <v>12</v>
      </c>
      <c r="B13" s="21" t="s">
        <v>104</v>
      </c>
      <c r="C13" s="21">
        <v>19.3</v>
      </c>
      <c r="D13" s="21" t="s">
        <v>105</v>
      </c>
      <c r="E13" s="21" t="s">
        <v>20</v>
      </c>
      <c r="F13" s="22" t="s">
        <v>106</v>
      </c>
      <c r="G13" s="21" t="s">
        <v>24</v>
      </c>
      <c r="H13" s="21" t="s">
        <v>27</v>
      </c>
      <c r="I13" s="21">
        <f t="array" ref="I13">_xlfn.SWITCH(H13,"XS",1,"S",2,"M",3,"L",5,"XL",8,"XXL",13,"XXXL",21,"")</f>
        <v>3</v>
      </c>
      <c r="J13" s="21" t="s">
        <v>79</v>
      </c>
      <c r="K13" s="21"/>
      <c r="L13" s="21"/>
    </row>
    <row r="14" spans="1:12" ht="244.8" x14ac:dyDescent="0.3">
      <c r="A14" s="21">
        <v>13</v>
      </c>
      <c r="B14" s="21" t="s">
        <v>104</v>
      </c>
      <c r="C14" s="21">
        <v>19.3</v>
      </c>
      <c r="D14" s="21" t="s">
        <v>107</v>
      </c>
      <c r="E14" s="21" t="s">
        <v>20</v>
      </c>
      <c r="F14" s="22" t="s">
        <v>117</v>
      </c>
      <c r="G14" s="21" t="s">
        <v>24</v>
      </c>
      <c r="H14" s="21" t="s">
        <v>30</v>
      </c>
      <c r="I14" s="21">
        <f t="array" ref="I14">_xlfn.SWITCH(H14,"XS",1,"S",2,"M",3,"L",5,"XL",8,"XXL",13,"XXXL",21,"")</f>
        <v>5</v>
      </c>
      <c r="J14" s="21" t="s">
        <v>79</v>
      </c>
      <c r="K14" s="21"/>
      <c r="L14" s="21"/>
    </row>
    <row r="15" spans="1:12" ht="273.60000000000002" x14ac:dyDescent="0.3">
      <c r="A15" s="21">
        <v>14</v>
      </c>
      <c r="B15" s="21" t="s">
        <v>108</v>
      </c>
      <c r="C15" s="21">
        <v>20.3</v>
      </c>
      <c r="D15" s="21" t="s">
        <v>109</v>
      </c>
      <c r="E15" s="21" t="s">
        <v>20</v>
      </c>
      <c r="F15" s="22" t="s">
        <v>110</v>
      </c>
      <c r="G15" s="21" t="s">
        <v>24</v>
      </c>
      <c r="H15" s="21" t="s">
        <v>30</v>
      </c>
      <c r="I15" s="21">
        <f t="array" ref="I15">_xlfn.SWITCH(H15,"XS",1,"S",2,"M",3,"L",5,"XL",8,"XXL",13,"XXXL",21,"")</f>
        <v>5</v>
      </c>
      <c r="J15" s="21" t="s">
        <v>79</v>
      </c>
      <c r="K15" s="21"/>
      <c r="L15" s="21"/>
    </row>
    <row r="16" spans="1:12" ht="187.2" x14ac:dyDescent="0.3">
      <c r="A16" s="21">
        <v>15</v>
      </c>
      <c r="B16" s="21" t="s">
        <v>108</v>
      </c>
      <c r="C16" s="21">
        <v>20.3</v>
      </c>
      <c r="D16" s="21" t="s">
        <v>111</v>
      </c>
      <c r="E16" s="21" t="s">
        <v>20</v>
      </c>
      <c r="F16" s="22" t="s">
        <v>112</v>
      </c>
      <c r="G16" s="21" t="s">
        <v>24</v>
      </c>
      <c r="H16" s="21" t="s">
        <v>27</v>
      </c>
      <c r="I16" s="21">
        <f t="array" ref="I16">_xlfn.SWITCH(H16,"XS",1,"S",2,"M",3,"L",5,"XL",8,"XXL",13,"XXXL",21,"")</f>
        <v>3</v>
      </c>
      <c r="J16" s="21" t="s">
        <v>79</v>
      </c>
      <c r="K16" s="21"/>
      <c r="L16" s="21"/>
    </row>
    <row r="17" spans="1:12" ht="158.4" x14ac:dyDescent="0.3">
      <c r="A17" s="23">
        <v>16</v>
      </c>
      <c r="B17" s="23" t="s">
        <v>113</v>
      </c>
      <c r="C17" s="23"/>
      <c r="D17" s="23" t="s">
        <v>114</v>
      </c>
      <c r="E17" s="23" t="s">
        <v>22</v>
      </c>
      <c r="F17" s="24" t="s">
        <v>115</v>
      </c>
      <c r="G17" s="23" t="s">
        <v>24</v>
      </c>
      <c r="H17" s="23" t="s">
        <v>27</v>
      </c>
      <c r="I17" s="23">
        <f t="array" ref="I17">_xlfn.SWITCH(H17,"XS",1,"S",2,"M",3,"L",5,"XL",8,"XXL",13,"XXXL",21,"")</f>
        <v>3</v>
      </c>
      <c r="J17" s="23" t="s">
        <v>79</v>
      </c>
      <c r="K17" s="23"/>
      <c r="L17" s="23"/>
    </row>
    <row r="18" spans="1:12" ht="244.8" x14ac:dyDescent="0.3">
      <c r="A18" s="8">
        <v>17</v>
      </c>
      <c r="B18" s="8" t="s">
        <v>104</v>
      </c>
      <c r="C18" s="8">
        <v>19.3</v>
      </c>
      <c r="D18" s="8" t="s">
        <v>118</v>
      </c>
      <c r="E18" s="8" t="s">
        <v>31</v>
      </c>
      <c r="F18" s="10" t="s">
        <v>119</v>
      </c>
      <c r="G18" s="8" t="s">
        <v>29</v>
      </c>
      <c r="H18" s="8" t="s">
        <v>30</v>
      </c>
      <c r="I18" s="8">
        <f t="array" ref="I18">_xlfn.SWITCH(H18,"XS",1,"S",2,"M",3,"L",5,"XL",8,"XXL",13,"XXXL",21,"")</f>
        <v>5</v>
      </c>
      <c r="J18" s="8"/>
      <c r="K18" s="8"/>
      <c r="L18" s="8"/>
    </row>
    <row r="19" spans="1:12" ht="230.4" x14ac:dyDescent="0.3">
      <c r="A19" s="8">
        <v>18</v>
      </c>
      <c r="B19" s="8" t="s">
        <v>108</v>
      </c>
      <c r="C19">
        <v>20.3</v>
      </c>
      <c r="D19" s="8" t="s">
        <v>120</v>
      </c>
      <c r="E19" s="8" t="s">
        <v>31</v>
      </c>
      <c r="F19" s="10" t="s">
        <v>121</v>
      </c>
      <c r="G19" s="8" t="s">
        <v>29</v>
      </c>
      <c r="H19" s="8" t="s">
        <v>30</v>
      </c>
      <c r="I19" s="8">
        <f t="array" ref="I19">_xlfn.SWITCH(H19,"XS",1,"S",2,"M",3,"L",5,"XL",8,"XXL",13,"XXXL",21,"")</f>
        <v>5</v>
      </c>
      <c r="J19" s="8"/>
      <c r="K19" s="8"/>
      <c r="L19" s="8"/>
    </row>
    <row r="20" spans="1:12" ht="244.8" x14ac:dyDescent="0.3">
      <c r="A20" s="8">
        <v>19</v>
      </c>
      <c r="B20" s="8" t="s">
        <v>108</v>
      </c>
      <c r="C20" s="8">
        <v>20.399999999999999</v>
      </c>
      <c r="D20" s="8" t="s">
        <v>122</v>
      </c>
      <c r="E20" s="8" t="s">
        <v>31</v>
      </c>
      <c r="F20" s="10" t="s">
        <v>123</v>
      </c>
      <c r="G20" s="8" t="s">
        <v>29</v>
      </c>
      <c r="H20" s="8" t="s">
        <v>30</v>
      </c>
      <c r="I20" s="8">
        <v>5</v>
      </c>
      <c r="J20" s="8"/>
      <c r="K20" s="8"/>
      <c r="L20" s="8"/>
    </row>
    <row r="21" spans="1:12" ht="273.60000000000002" x14ac:dyDescent="0.3">
      <c r="A21" s="8">
        <v>20</v>
      </c>
      <c r="B21" s="8" t="s">
        <v>124</v>
      </c>
      <c r="C21" t="s">
        <v>125</v>
      </c>
      <c r="D21" s="8" t="s">
        <v>126</v>
      </c>
      <c r="E21" s="8" t="s">
        <v>31</v>
      </c>
      <c r="F21" s="10" t="s">
        <v>127</v>
      </c>
      <c r="G21" s="8" t="s">
        <v>29</v>
      </c>
      <c r="H21" s="8" t="s">
        <v>30</v>
      </c>
      <c r="I21" s="8">
        <v>5</v>
      </c>
      <c r="J21" s="8"/>
      <c r="K21" s="8"/>
      <c r="L21" s="8"/>
    </row>
    <row r="22" spans="1:12" ht="345.6" x14ac:dyDescent="0.3">
      <c r="A22" s="8">
        <v>21</v>
      </c>
      <c r="B22" s="8" t="s">
        <v>124</v>
      </c>
      <c r="C22" s="8" t="s">
        <v>125</v>
      </c>
      <c r="D22" s="8" t="s">
        <v>129</v>
      </c>
      <c r="E22" s="8" t="s">
        <v>31</v>
      </c>
      <c r="F22" s="10" t="s">
        <v>128</v>
      </c>
      <c r="G22" s="8" t="s">
        <v>29</v>
      </c>
      <c r="H22" s="8" t="s">
        <v>30</v>
      </c>
      <c r="I22" s="8">
        <v>5</v>
      </c>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10"/>
      <c r="G33" s="8"/>
      <c r="H33" s="8"/>
      <c r="I33" s="8" t="str">
        <f t="array" ref="I33">_xlfn.SWITCH(H33,"XS",1,"S",2,"M",3,"L",5,"XL",8,"XXL",13,"XXXL",21,"")</f>
        <v/>
      </c>
      <c r="J33" s="8"/>
      <c r="K33" s="8"/>
      <c r="L33" s="8"/>
    </row>
    <row r="34" spans="1:12" x14ac:dyDescent="0.3">
      <c r="A34" s="8"/>
      <c r="B34" s="8"/>
      <c r="C34" s="8"/>
      <c r="D34" s="8"/>
      <c r="E34" s="8"/>
      <c r="F34" s="7"/>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9"/>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10"/>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9"/>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7"/>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9"/>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row r="113" spans="1:12" x14ac:dyDescent="0.3">
      <c r="A113" s="8"/>
      <c r="B113" s="8"/>
      <c r="C113" s="8"/>
      <c r="D113" s="8"/>
      <c r="E113" s="8"/>
      <c r="F113" s="10"/>
      <c r="G113" s="8"/>
      <c r="H113" s="8"/>
      <c r="I113" s="8" t="str">
        <f t="array" ref="I113">_xlfn.SWITCH(H113,"XS",1,"S",2,"M",3,"L",5,"XL",8,"XXL",13,"XXXL",21,"")</f>
        <v/>
      </c>
      <c r="J113" s="8"/>
      <c r="K113" s="8"/>
      <c r="L113"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7" sqref="F7"/>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54-SUM(E$2:E2)</f>
        <v>54</v>
      </c>
      <c r="D2" s="1">
        <f>54*(1-(A2/8))</f>
        <v>54</v>
      </c>
      <c r="E2" s="1">
        <v>0</v>
      </c>
    </row>
    <row r="3" spans="1:12" x14ac:dyDescent="0.3">
      <c r="A3" s="2">
        <v>1</v>
      </c>
      <c r="B3" s="14">
        <v>46252</v>
      </c>
      <c r="C3" s="4">
        <f>54-SUM(E$2:E3)</f>
        <v>54</v>
      </c>
      <c r="D3" s="1">
        <f t="shared" ref="D3:D10" si="0">54*(1-(A3/8))</f>
        <v>47.25</v>
      </c>
      <c r="E3" s="1">
        <v>0</v>
      </c>
    </row>
    <row r="4" spans="1:12" x14ac:dyDescent="0.3">
      <c r="A4" s="2">
        <v>2</v>
      </c>
      <c r="B4" s="14">
        <v>46253</v>
      </c>
      <c r="C4" s="4">
        <f>54-SUM(E$2:E4)</f>
        <v>54</v>
      </c>
      <c r="D4" s="1">
        <f t="shared" si="0"/>
        <v>40.5</v>
      </c>
      <c r="E4" s="1">
        <v>0</v>
      </c>
      <c r="L4" s="3"/>
    </row>
    <row r="5" spans="1:12" x14ac:dyDescent="0.3">
      <c r="A5" s="2">
        <v>3</v>
      </c>
      <c r="B5" s="14">
        <v>46254</v>
      </c>
      <c r="C5" s="4">
        <f>54-SUM(E$2:E5)</f>
        <v>54</v>
      </c>
      <c r="D5" s="1">
        <f t="shared" si="0"/>
        <v>33.75</v>
      </c>
      <c r="E5" s="1">
        <v>0</v>
      </c>
    </row>
    <row r="6" spans="1:12" x14ac:dyDescent="0.3">
      <c r="A6" s="2">
        <v>4</v>
      </c>
      <c r="B6" s="14">
        <v>46255</v>
      </c>
      <c r="C6" s="4">
        <f>54-SUM(E$2:E6)</f>
        <v>54</v>
      </c>
      <c r="D6" s="1">
        <f t="shared" si="0"/>
        <v>27</v>
      </c>
      <c r="E6" s="1">
        <v>0</v>
      </c>
    </row>
    <row r="7" spans="1:12" x14ac:dyDescent="0.3">
      <c r="A7" s="2">
        <v>5</v>
      </c>
      <c r="B7" s="14">
        <v>46258</v>
      </c>
      <c r="C7" s="4">
        <f>54-SUM(E$2:E7)</f>
        <v>54</v>
      </c>
      <c r="D7" s="1">
        <f t="shared" si="0"/>
        <v>20.25</v>
      </c>
      <c r="E7" s="1">
        <v>0</v>
      </c>
    </row>
    <row r="8" spans="1:12" x14ac:dyDescent="0.3">
      <c r="A8" s="2">
        <v>6</v>
      </c>
      <c r="B8" s="14">
        <v>46259</v>
      </c>
      <c r="C8" s="4">
        <f>54-SUM(E$2:E8)</f>
        <v>54</v>
      </c>
      <c r="D8" s="1">
        <f t="shared" si="0"/>
        <v>13.5</v>
      </c>
      <c r="E8" s="1">
        <v>0</v>
      </c>
    </row>
    <row r="9" spans="1:12" x14ac:dyDescent="0.3">
      <c r="A9" s="2">
        <v>7</v>
      </c>
      <c r="B9" s="14">
        <v>46260</v>
      </c>
      <c r="C9" s="4">
        <f>54-SUM(E$2:E9)</f>
        <v>54</v>
      </c>
      <c r="D9" s="1">
        <f t="shared" si="0"/>
        <v>6.75</v>
      </c>
      <c r="E9" s="1">
        <v>0</v>
      </c>
    </row>
    <row r="10" spans="1:12" x14ac:dyDescent="0.3">
      <c r="A10" s="2">
        <v>8</v>
      </c>
      <c r="B10" s="14">
        <v>46261</v>
      </c>
      <c r="C10" s="4">
        <f>54-SUM(E$2:E10)</f>
        <v>54</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Atish Roy</cp:lastModifiedBy>
  <dcterms:created xsi:type="dcterms:W3CDTF">2026-01-01T14:00:11Z</dcterms:created>
  <dcterms:modified xsi:type="dcterms:W3CDTF">2026-08-26T03:48:26Z</dcterms:modified>
</cp:coreProperties>
</file>