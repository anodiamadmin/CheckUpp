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7FE696C6-D790-467D-9513-75CA5AD684B9}"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D2" i="6"/>
  <c r="C3" i="6"/>
  <c r="C4" i="6"/>
  <c r="C5" i="6"/>
  <c r="C6" i="6"/>
  <c r="C7" i="6"/>
  <c r="C8" i="6"/>
  <c r="C9" i="6"/>
  <c r="C10" i="6"/>
  <c r="C2" i="6"/>
  <c r="I4" i="5" a="1"/>
  <c r="I4" i="5" s="1"/>
  <c r="I5" i="5" a="1"/>
  <c r="I5" i="5" s="1"/>
  <c r="I17" i="5" a="1"/>
  <c r="I17" i="5" s="1"/>
  <c r="I16" i="5" a="1"/>
  <c r="I16" i="5" s="1"/>
  <c r="I15" i="5" a="1"/>
  <c r="I15" i="5" s="1"/>
  <c r="I13" i="5" a="1"/>
  <c r="I13" i="5" s="1"/>
  <c r="I14" i="5" a="1"/>
  <c r="I14" i="5" s="1"/>
  <c r="I12" i="5" a="1"/>
  <c r="I12" i="5" s="1"/>
  <c r="I11" i="5" a="1"/>
  <c r="I11" i="5" s="1"/>
  <c r="I10" i="5" a="1"/>
  <c r="I10" i="5" s="1"/>
  <c r="I3" i="5" a="1"/>
  <c r="I3" i="5" s="1"/>
  <c r="I6" i="5" a="1"/>
  <c r="I6" i="5" s="1"/>
  <c r="I7" i="5" a="1"/>
  <c r="I7" i="5" s="1"/>
  <c r="I8" i="5" a="1"/>
  <c r="I8" i="5" s="1"/>
  <c r="I9" i="5" a="1"/>
  <c r="I9" i="5" s="1"/>
  <c r="I111" i="5" a="1"/>
  <c r="I111" i="5" s="1"/>
  <c r="I110" i="5" a="1"/>
  <c r="I110" i="5" s="1"/>
  <c r="I109" i="5" a="1"/>
  <c r="I109" i="5" s="1"/>
  <c r="I108" i="5" a="1"/>
  <c r="I108" i="5" s="1"/>
  <c r="I107" i="5" a="1"/>
  <c r="I107" i="5" s="1"/>
  <c r="I106" i="5" a="1"/>
  <c r="I106" i="5" s="1"/>
  <c r="I105" i="5" a="1"/>
  <c r="I105" i="5" s="1"/>
  <c r="I104" i="5" a="1"/>
  <c r="I104" i="5" s="1"/>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<sst xmlns="http://schemas.openxmlformats.org/spreadsheetml/2006/main" count="317" uniqueCount="121">
  <si>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</si>
  <si>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</si>
  <si>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</si>
  <si>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</si>
  <si>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</si>
  <si>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</si>
  <si>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</si>
  <si>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</si>
  <si>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</si>
  <si>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</si>
  <si>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</si>
  <si>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</si>
  <si>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</si>
  <si>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</si>
  <si>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</si>
  <si>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</si>
  <si>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</si>
  <si>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</si>
  <si>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</si>
  <si>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</si>
  <si>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</si>
  <si>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</si>
  <si>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</si>
  <si>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</si>
  <si>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</si>
  <si>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</si>
  <si>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</si>
  <si>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</si>
  <si>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</si>
  <si>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</si>
  <si>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</si>
  <si>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</si>
  <si>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</si>
  <si>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</si>
  <si>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</si>
  <si>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</si>
  <si>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</si>
  <si>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</si>
  <si>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</si>
  <si>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</si>
  <si>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</si>
  <si>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</si>
  <si>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</si>
  <si>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</si>
  <si>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</si>
  <si>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</si>
  <si>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</si>
  <si>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</si>
  <si>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</si>
  <si>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</si>
  <si>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</si>
  <si>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</si>
  <si>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</si>
  <si>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</si>
  <si>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</si>
  <si>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</si>
  <si>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</si>
  <si>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</si>
  <si>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</si>
  <si>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</si>
  <si>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</si>
  <si>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</si>
  <si>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</si>
  <si>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</si>
  <si>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</si>
  <si>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</si>
  <si>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</si>
  <si>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</si>
  <si>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</si>
  <si>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</si>
  <si>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</si>
  <si>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</si>
  <si>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</si>
  <si>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</si>
  <si>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</si>
  <si>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</si>
  <si>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</si>
  <si>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ToDo</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</si>
  <si>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</si>
  <si>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</si>
  <si>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</si>
  <si>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</si>
  <si>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</si>
  <si>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</si>
  <si>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</si>
  <si>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</si>
  <si>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</si>
  <si>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</si>
  <si>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</si>
  <si>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</si>
  <si>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</si>
  <si>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</si>
  <si>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Live-scan digital blood pressure monitor</t>
  </si>
  <si>
    <t>Implement Blood Pressure OCR Extraction and Y-Coordinate Mapping with Jest TDD
Target Files:
• checkupp-mobile-main/lib/scanner/bloodPressureScanner.js
• checkupp-mobile-main/__tests__/cardiovascular/scan-monitor-image.test.js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</si>
  <si>
    <t>Live-scan digital glucometer</t>
  </si>
  <si>
    <t>Implement Glucometer Single-Value OCR Extraction and Regex Validation with Jest TDD
Target Files:
• checkupp-mobile-main/lib/scanner/glucoseScanner.js
• checkupp-mobile-main/__tests__/diabetes/scan-glucometer-image.test.js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</si>
  <si>
    <t>Live-scan digital weighing scale</t>
  </si>
  <si>
    <t>Implement Digital Weighing Scale LCD OCR and Weight Validation with Jest TDD
Target Files:
• checkupp-mobile-main/lib/scanner/weightScanner.js
• checkupp-mobile-main/__tests__/diabetes/scan-digital-scale-image.test.js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</si>
  <si>
    <t>Shared Scanner</t>
  </si>
  <si>
    <t>Shared camera scanning</t>
  </si>
  <si>
    <t>Implement Shared Camera Performance, Permission and Timeout Handling with Jest TDD
Target Files:
• checkupp-mobile-main/lib/scanner/deviceScanner.js
• Existing camera component under checkupp-mobile-main/components/
• checkupp-mobile-main/__tests__/scanner/scanner-edge-cases.test.js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Acceptance Criteria Covered: US 19.3 – Permissions, Performance, Timeout; US 20.3 – Timeout; US 20.4 – Timeout</t>
  </si>
  <si>
    <t>Implement Image Quality, Bounding-Box Filtering and Multi-Frame Stability with Jest TDD
Target Files:
• checkupp-mobile-main/lib/scanner/bloodPressureScanner.js
• checkupp-mobile-main/lib/scanner/glucoseScanner.js
• checkupp-mobile-main/lib/scanner/weightScanner.js
• checkupp-mobile-main/__tests__/cardiovascular/scan-monitor-image.test.js
• checkupp-mobile-main/__tests__/diabetes/scan-glucometer-image.test.js
• checkupp-mobile-main/__tests__/diabetes/scan-digital-scale-image.test.js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</si>
  <si>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</si>
  <si>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</si>
  <si>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</si>
  <si>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</si>
  <si>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</si>
  <si>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</si>
  <si>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</si>
  <si>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</si>
  <si>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</si>
  <si>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</si>
  <si>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</si>
  <si>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</si>
  <si>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</si>
  <si>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checkupp-mobile/tests/wallet/walletCardInteractions.test.js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</si>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</sst>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3" fillId="5" borderId="1"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75</c:v>
                </c:pt>
                <c:pt idx="4">
                  <c:v>75</c:v>
                </c:pt>
                <c:pt idx="5">
                  <c:v>75</c:v>
                </c:pt>
                <c:pt idx="6">
                  <c:v>75</c:v>
                </c:pt>
                <c:pt idx="7">
                  <c:v>75</c:v>
                </c:pt>
                <c:pt idx="8">
                  <c:v>75</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1"/>
  <sheetViews>
    <sheetView tabSelected="1" topLeftCell="A7" workbookViewId="0">
      <selection activeCell="F8" sqref="F8"/>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172.8" x14ac:dyDescent="0.3">
      <c r="A2" s="15">
        <v>1</v>
      </c>
      <c r="B2" s="15" t="s">
        <v>108</v>
      </c>
      <c r="C2" s="15" t="s">
        <v>103</v>
      </c>
      <c r="D2" s="15"/>
      <c r="E2" s="15" t="s">
        <v>31</v>
      </c>
      <c r="F2" s="16" t="s">
        <v>114</v>
      </c>
      <c r="G2" s="15" t="s">
        <v>29</v>
      </c>
      <c r="H2" s="15" t="s">
        <v>27</v>
      </c>
      <c r="I2" s="15">
        <f t="array" ref="I2">_xlfn.SWITCH(H2,"XS",1,"S",2,"M",3,"L",5,"XL",8,"XXL",13,"XXXL",21,"")</f>
        <v>3</v>
      </c>
      <c r="J2" s="15" t="s">
        <v>77</v>
      </c>
      <c r="K2" s="15"/>
      <c r="L2" s="15"/>
    </row>
    <row r="3" spans="1:12" ht="158.4" x14ac:dyDescent="0.3">
      <c r="A3" s="15">
        <v>2</v>
      </c>
      <c r="B3" s="15" t="s">
        <v>108</v>
      </c>
      <c r="C3" s="15" t="s">
        <v>105</v>
      </c>
      <c r="D3" s="15"/>
      <c r="E3" s="15" t="s">
        <v>31</v>
      </c>
      <c r="F3" s="16" t="s">
        <v>115</v>
      </c>
      <c r="G3" s="15" t="s">
        <v>29</v>
      </c>
      <c r="H3" s="15" t="s">
        <v>27</v>
      </c>
      <c r="I3" s="15">
        <f t="array" ref="I3">_xlfn.SWITCH(H3,"XS",1,"S",2,"M",3,"L",5,"XL",8,"XXL",13,"XXXL",21,"")</f>
        <v>3</v>
      </c>
      <c r="J3" s="15" t="s">
        <v>77</v>
      </c>
      <c r="K3" s="15"/>
      <c r="L3" s="15"/>
    </row>
    <row r="4" spans="1:12" ht="403.2" x14ac:dyDescent="0.3">
      <c r="A4" s="15">
        <v>3</v>
      </c>
      <c r="B4" s="15" t="s">
        <v>108</v>
      </c>
      <c r="C4" s="15" t="s">
        <v>103</v>
      </c>
      <c r="D4" s="15"/>
      <c r="E4" s="15" t="s">
        <v>31</v>
      </c>
      <c r="F4" s="21" t="s">
        <v>120</v>
      </c>
      <c r="G4" s="15" t="s">
        <v>29</v>
      </c>
      <c r="H4" s="15" t="s">
        <v>30</v>
      </c>
      <c r="I4" s="15">
        <f t="array" ref="I4">_xlfn.SWITCH(H4,"XS",1,"S",2,"M",3,"L",5,"XL",8,"XXL",13,"XXXL",21,"")</f>
        <v>5</v>
      </c>
      <c r="J4" s="15"/>
      <c r="K4" s="15"/>
      <c r="L4" s="15"/>
    </row>
    <row r="5" spans="1:12" ht="409.6" x14ac:dyDescent="0.3">
      <c r="A5" s="15">
        <v>4</v>
      </c>
      <c r="B5" s="15" t="s">
        <v>108</v>
      </c>
      <c r="C5" s="15" t="s">
        <v>105</v>
      </c>
      <c r="D5" s="15"/>
      <c r="E5" s="15" t="s">
        <v>31</v>
      </c>
      <c r="F5" s="21" t="s">
        <v>119</v>
      </c>
      <c r="G5" s="15" t="s">
        <v>29</v>
      </c>
      <c r="H5" s="15" t="s">
        <v>30</v>
      </c>
      <c r="I5" s="15">
        <f t="array" ref="I5">_xlfn.SWITCH(H5,"XS",1,"S",2,"M",3,"L",5,"XL",8,"XXL",13,"XXXL",21,"")</f>
        <v>5</v>
      </c>
      <c r="J5" s="15"/>
      <c r="K5" s="15"/>
      <c r="L5" s="15"/>
    </row>
    <row r="6" spans="1:12" ht="187.2" x14ac:dyDescent="0.3">
      <c r="A6" s="15">
        <v>5</v>
      </c>
      <c r="B6" s="15" t="s">
        <v>108</v>
      </c>
      <c r="C6" s="15" t="s">
        <v>104</v>
      </c>
      <c r="D6" s="15"/>
      <c r="E6" s="15" t="s">
        <v>22</v>
      </c>
      <c r="F6" s="21" t="s">
        <v>116</v>
      </c>
      <c r="G6" s="15" t="s">
        <v>29</v>
      </c>
      <c r="H6" s="15" t="s">
        <v>30</v>
      </c>
      <c r="I6" s="15">
        <f t="array" ref="I6">_xlfn.SWITCH(H6,"XS",1,"S",2,"M",3,"L",5,"XL",8,"XXL",13,"XXXL",21,"")</f>
        <v>5</v>
      </c>
      <c r="J6" s="15" t="s">
        <v>77</v>
      </c>
      <c r="K6" s="15"/>
      <c r="L6" s="15"/>
    </row>
    <row r="7" spans="1:12" ht="144" x14ac:dyDescent="0.3">
      <c r="A7" s="15">
        <v>6</v>
      </c>
      <c r="B7" s="15" t="s">
        <v>108</v>
      </c>
      <c r="C7" s="15" t="s">
        <v>106</v>
      </c>
      <c r="D7" s="15"/>
      <c r="E7" s="15" t="s">
        <v>20</v>
      </c>
      <c r="F7" s="21" t="s">
        <v>107</v>
      </c>
      <c r="G7" s="15" t="s">
        <v>29</v>
      </c>
      <c r="H7" s="15" t="s">
        <v>23</v>
      </c>
      <c r="I7" s="15">
        <f t="array" ref="I7">_xlfn.SWITCH(H7,"XS",1,"S",2,"M",3,"L",5,"XL",8,"XXL",13,"XXXL",21,"")</f>
        <v>2</v>
      </c>
      <c r="J7" s="15" t="s">
        <v>77</v>
      </c>
      <c r="K7" s="15"/>
      <c r="L7" s="15"/>
    </row>
    <row r="8" spans="1:12" ht="144" x14ac:dyDescent="0.3">
      <c r="A8" s="15">
        <v>7</v>
      </c>
      <c r="B8" s="15" t="s">
        <v>108</v>
      </c>
      <c r="C8" s="15" t="s">
        <v>109</v>
      </c>
      <c r="D8" s="15"/>
      <c r="E8" s="15" t="s">
        <v>20</v>
      </c>
      <c r="F8" s="16" t="s">
        <v>117</v>
      </c>
      <c r="G8" s="15" t="s">
        <v>29</v>
      </c>
      <c r="H8" s="15" t="s">
        <v>27</v>
      </c>
      <c r="I8" s="15">
        <f t="array" ref="I8">_xlfn.SWITCH(H8,"XS",1,"S",2,"M",3,"L",5,"XL",8,"XXL",13,"XXXL",21,"")</f>
        <v>3</v>
      </c>
      <c r="J8" s="15" t="s">
        <v>77</v>
      </c>
      <c r="K8" s="15"/>
      <c r="L8" s="15"/>
    </row>
    <row r="9" spans="1:12" ht="100.8" x14ac:dyDescent="0.3">
      <c r="A9" s="15">
        <v>8</v>
      </c>
      <c r="B9" s="15" t="s">
        <v>108</v>
      </c>
      <c r="C9" s="15">
        <v>6.5</v>
      </c>
      <c r="D9" s="15"/>
      <c r="E9" s="15" t="s">
        <v>20</v>
      </c>
      <c r="F9" s="21" t="s">
        <v>110</v>
      </c>
      <c r="G9" s="15" t="s">
        <v>29</v>
      </c>
      <c r="H9" s="15" t="s">
        <v>23</v>
      </c>
      <c r="I9" s="15">
        <f t="array" ref="I9">_xlfn.SWITCH(H9,"XS",1,"S",2,"M",3,"L",5,"XL",8,"XXL",13,"XXXL",21,"")</f>
        <v>2</v>
      </c>
      <c r="J9" s="15" t="s">
        <v>77</v>
      </c>
      <c r="K9" s="15"/>
      <c r="L9" s="15"/>
    </row>
    <row r="10" spans="1:12" ht="115.2" x14ac:dyDescent="0.3">
      <c r="A10" s="15">
        <v>9</v>
      </c>
      <c r="B10" s="15" t="s">
        <v>76</v>
      </c>
      <c r="C10" s="15" t="s">
        <v>111</v>
      </c>
      <c r="D10" s="15"/>
      <c r="E10" s="15" t="s">
        <v>20</v>
      </c>
      <c r="F10" s="16" t="s">
        <v>118</v>
      </c>
      <c r="G10" s="15" t="s">
        <v>90</v>
      </c>
      <c r="H10" s="15" t="s">
        <v>27</v>
      </c>
      <c r="I10" s="15">
        <f t="array" ref="I10">_xlfn.SWITCH(H10,"XS",1,"S",2,"M",3,"L",5,"XL",8,"XXL",13,"XXXL",21,"")</f>
        <v>3</v>
      </c>
      <c r="J10" s="15" t="s">
        <v>77</v>
      </c>
      <c r="K10" s="15"/>
      <c r="L10" s="15"/>
    </row>
    <row r="11" spans="1:12" ht="201.6" x14ac:dyDescent="0.3">
      <c r="A11" s="15">
        <v>10</v>
      </c>
      <c r="B11" s="17" t="s">
        <v>78</v>
      </c>
      <c r="C11" s="17">
        <v>19.3</v>
      </c>
      <c r="D11" s="17" t="s">
        <v>79</v>
      </c>
      <c r="E11" s="17" t="s">
        <v>20</v>
      </c>
      <c r="F11" s="18" t="s">
        <v>80</v>
      </c>
      <c r="G11" s="17" t="s">
        <v>24</v>
      </c>
      <c r="H11" s="17" t="s">
        <v>27</v>
      </c>
      <c r="I11" s="17">
        <f t="array" ref="I11">_xlfn.SWITCH(H11,"XS",1,"S",2,"M",3,"L",5,"XL",8,"XXL",13,"XXXL",21,"")</f>
        <v>3</v>
      </c>
      <c r="J11" s="17" t="s">
        <v>77</v>
      </c>
      <c r="K11" s="17"/>
      <c r="L11" s="17"/>
    </row>
    <row r="12" spans="1:12" ht="244.8" x14ac:dyDescent="0.3">
      <c r="A12" s="15">
        <v>11</v>
      </c>
      <c r="B12" s="17" t="s">
        <v>78</v>
      </c>
      <c r="C12" s="17">
        <v>19.3</v>
      </c>
      <c r="D12" s="17" t="s">
        <v>81</v>
      </c>
      <c r="E12" s="17" t="s">
        <v>20</v>
      </c>
      <c r="F12" s="18" t="s">
        <v>91</v>
      </c>
      <c r="G12" s="17" t="s">
        <v>24</v>
      </c>
      <c r="H12" s="17" t="s">
        <v>30</v>
      </c>
      <c r="I12" s="17">
        <f t="array" ref="I12">_xlfn.SWITCH(H12,"XS",1,"S",2,"M",3,"L",5,"XL",8,"XXL",13,"XXXL",21,"")</f>
        <v>5</v>
      </c>
      <c r="J12" s="17" t="s">
        <v>77</v>
      </c>
      <c r="K12" s="17"/>
      <c r="L12" s="17"/>
    </row>
    <row r="13" spans="1:12" ht="273.60000000000002" x14ac:dyDescent="0.3">
      <c r="A13" s="15">
        <v>12</v>
      </c>
      <c r="B13" s="17" t="s">
        <v>82</v>
      </c>
      <c r="C13" s="17">
        <v>20.3</v>
      </c>
      <c r="D13" s="17" t="s">
        <v>83</v>
      </c>
      <c r="E13" s="17" t="s">
        <v>20</v>
      </c>
      <c r="F13" s="18" t="s">
        <v>84</v>
      </c>
      <c r="G13" s="17" t="s">
        <v>24</v>
      </c>
      <c r="H13" s="17" t="s">
        <v>30</v>
      </c>
      <c r="I13" s="17">
        <f t="array" ref="I13">_xlfn.SWITCH(H13,"XS",1,"S",2,"M",3,"L",5,"XL",8,"XXL",13,"XXXL",21,"")</f>
        <v>5</v>
      </c>
      <c r="J13" s="17" t="s">
        <v>77</v>
      </c>
      <c r="K13" s="17"/>
      <c r="L13" s="17"/>
    </row>
    <row r="14" spans="1:12" ht="187.2" x14ac:dyDescent="0.3">
      <c r="A14" s="15">
        <v>13</v>
      </c>
      <c r="B14" s="17" t="s">
        <v>82</v>
      </c>
      <c r="C14" s="17">
        <v>20.3</v>
      </c>
      <c r="D14" s="17" t="s">
        <v>85</v>
      </c>
      <c r="E14" s="17" t="s">
        <v>20</v>
      </c>
      <c r="F14" s="18" t="s">
        <v>86</v>
      </c>
      <c r="G14" s="17" t="s">
        <v>24</v>
      </c>
      <c r="H14" s="17" t="s">
        <v>27</v>
      </c>
      <c r="I14" s="17">
        <f t="array" ref="I14">_xlfn.SWITCH(H14,"XS",1,"S",2,"M",3,"L",5,"XL",8,"XXL",13,"XXXL",21,"")</f>
        <v>3</v>
      </c>
      <c r="J14" s="17" t="s">
        <v>77</v>
      </c>
      <c r="K14" s="17"/>
      <c r="L14" s="17"/>
    </row>
    <row r="15" spans="1:12" ht="158.4" x14ac:dyDescent="0.3">
      <c r="A15" s="15">
        <v>14</v>
      </c>
      <c r="B15" s="19" t="s">
        <v>87</v>
      </c>
      <c r="C15" s="19"/>
      <c r="D15" s="19" t="s">
        <v>88</v>
      </c>
      <c r="E15" s="19" t="s">
        <v>22</v>
      </c>
      <c r="F15" s="20" t="s">
        <v>89</v>
      </c>
      <c r="G15" s="19" t="s">
        <v>24</v>
      </c>
      <c r="H15" s="19" t="s">
        <v>27</v>
      </c>
      <c r="I15" s="19">
        <f t="array" ref="I15">_xlfn.SWITCH(H15,"XS",1,"S",2,"M",3,"L",5,"XL",8,"XXL",13,"XXXL",21,"")</f>
        <v>3</v>
      </c>
      <c r="J15" s="19" t="s">
        <v>77</v>
      </c>
      <c r="K15" s="19"/>
      <c r="L15" s="19"/>
    </row>
    <row r="16" spans="1:12" ht="244.8" x14ac:dyDescent="0.3">
      <c r="A16" s="15">
        <v>15</v>
      </c>
      <c r="B16" s="8" t="s">
        <v>78</v>
      </c>
      <c r="C16" s="8">
        <v>19.3</v>
      </c>
      <c r="D16" s="8" t="s">
        <v>92</v>
      </c>
      <c r="E16" s="8" t="s">
        <v>31</v>
      </c>
      <c r="F16" s="10" t="s">
        <v>93</v>
      </c>
      <c r="G16" s="8" t="s">
        <v>29</v>
      </c>
      <c r="H16" s="8" t="s">
        <v>30</v>
      </c>
      <c r="I16" s="8">
        <f t="array" ref="I16">_xlfn.SWITCH(H16,"XS",1,"S",2,"M",3,"L",5,"XL",8,"XXL",13,"XXXL",21,"")</f>
        <v>5</v>
      </c>
      <c r="J16" s="8"/>
      <c r="K16" s="8"/>
      <c r="L16" s="8"/>
    </row>
    <row r="17" spans="1:12" ht="230.4" x14ac:dyDescent="0.3">
      <c r="A17" s="15">
        <v>16</v>
      </c>
      <c r="B17" s="8" t="s">
        <v>82</v>
      </c>
      <c r="C17" s="8">
        <v>20.3</v>
      </c>
      <c r="D17" s="8" t="s">
        <v>94</v>
      </c>
      <c r="E17" s="8" t="s">
        <v>31</v>
      </c>
      <c r="F17" s="10" t="s">
        <v>95</v>
      </c>
      <c r="G17" s="8" t="s">
        <v>29</v>
      </c>
      <c r="H17" s="8" t="s">
        <v>30</v>
      </c>
      <c r="I17" s="8">
        <f t="array" ref="I17">_xlfn.SWITCH(H17,"XS",1,"S",2,"M",3,"L",5,"XL",8,"XXL",13,"XXXL",21,"")</f>
        <v>5</v>
      </c>
      <c r="J17" s="8"/>
      <c r="K17" s="8"/>
      <c r="L17" s="8"/>
    </row>
    <row r="18" spans="1:12" ht="244.8" x14ac:dyDescent="0.3">
      <c r="A18" s="15">
        <v>17</v>
      </c>
      <c r="B18" s="8" t="s">
        <v>82</v>
      </c>
      <c r="C18" s="8">
        <v>20.399999999999999</v>
      </c>
      <c r="D18" s="8" t="s">
        <v>96</v>
      </c>
      <c r="E18" s="8" t="s">
        <v>31</v>
      </c>
      <c r="F18" s="10" t="s">
        <v>97</v>
      </c>
      <c r="G18" s="8" t="s">
        <v>29</v>
      </c>
      <c r="H18" s="8" t="s">
        <v>30</v>
      </c>
      <c r="I18" s="8">
        <v>5</v>
      </c>
      <c r="J18" s="8"/>
      <c r="K18" s="8"/>
      <c r="L18" s="8"/>
    </row>
    <row r="19" spans="1:12" ht="273.60000000000002" x14ac:dyDescent="0.3">
      <c r="A19" s="15">
        <v>18</v>
      </c>
      <c r="B19" s="8" t="s">
        <v>98</v>
      </c>
      <c r="C19" s="8" t="s">
        <v>112</v>
      </c>
      <c r="D19" s="8" t="s">
        <v>99</v>
      </c>
      <c r="E19" s="8" t="s">
        <v>31</v>
      </c>
      <c r="F19" s="10" t="s">
        <v>100</v>
      </c>
      <c r="G19" s="8" t="s">
        <v>29</v>
      </c>
      <c r="H19" s="8" t="s">
        <v>30</v>
      </c>
      <c r="I19" s="8">
        <v>5</v>
      </c>
      <c r="J19" s="8"/>
      <c r="K19" s="8"/>
      <c r="L19" s="8"/>
    </row>
    <row r="20" spans="1:12" ht="345.6" x14ac:dyDescent="0.3">
      <c r="A20" s="15">
        <v>19</v>
      </c>
      <c r="B20" s="8" t="s">
        <v>98</v>
      </c>
      <c r="C20" s="8" t="s">
        <v>113</v>
      </c>
      <c r="D20" s="8" t="s">
        <v>102</v>
      </c>
      <c r="E20" s="8" t="s">
        <v>31</v>
      </c>
      <c r="F20" s="10" t="s">
        <v>101</v>
      </c>
      <c r="G20" s="8" t="s">
        <v>29</v>
      </c>
      <c r="H20" s="8" t="s">
        <v>30</v>
      </c>
      <c r="I20" s="8">
        <v>5</v>
      </c>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t="str">
        <f t="array" ref="I25">_xlfn.SWITCH(H25,"XS",1,"S",2,"M",3,"L",5,"XL",8,"XXL",13,"XXXL",21,"")</f>
        <v/>
      </c>
      <c r="J25" s="8"/>
      <c r="K25" s="8"/>
      <c r="L25" s="8"/>
    </row>
    <row r="26" spans="1:12" x14ac:dyDescent="0.3">
      <c r="A26" s="8"/>
      <c r="B26" s="8"/>
      <c r="C26" s="8"/>
      <c r="D26" s="8"/>
      <c r="E26" s="8"/>
      <c r="F26" s="10"/>
      <c r="G26" s="8"/>
      <c r="H26" s="8"/>
      <c r="I26" s="8" t="str">
        <f t="array" ref="I26">_xlfn.SWITCH(H26,"XS",1,"S",2,"M",3,"L",5,"XL",8,"XXL",13,"XXXL",21,"")</f>
        <v/>
      </c>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7"/>
      <c r="G32" s="8"/>
      <c r="H32" s="8"/>
      <c r="I32" s="8" t="str">
        <f t="array" ref="I32">_xlfn.SWITCH(H32,"XS",1,"S",2,"M",3,"L",5,"XL",8,"XXL",13,"XXXL",21,"")</f>
        <v/>
      </c>
      <c r="J32" s="8"/>
      <c r="K32" s="8"/>
      <c r="L32" s="8"/>
    </row>
    <row r="33" spans="1:12" x14ac:dyDescent="0.3">
      <c r="A33" s="8"/>
      <c r="B33" s="8"/>
      <c r="C33" s="8"/>
      <c r="D33" s="8"/>
      <c r="E33" s="8"/>
      <c r="F33" s="9"/>
      <c r="G33" s="8"/>
      <c r="H33" s="8"/>
      <c r="I33" s="8" t="str">
        <f t="array" ref="I33">_xlfn.SWITCH(H33,"XS",1,"S",2,"M",3,"L",5,"XL",8,"XXL",13,"XXXL",21,"")</f>
        <v/>
      </c>
      <c r="J33" s="8"/>
      <c r="K33" s="8"/>
      <c r="L33" s="8"/>
    </row>
    <row r="34" spans="1:12" x14ac:dyDescent="0.3">
      <c r="A34" s="8"/>
      <c r="B34" s="8"/>
      <c r="C34" s="8"/>
      <c r="D34" s="8"/>
      <c r="E34" s="8"/>
      <c r="F34" s="9"/>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10"/>
      <c r="G50" s="8"/>
      <c r="H50" s="8"/>
      <c r="I50" s="8" t="str">
        <f t="array" ref="I50">_xlfn.SWITCH(H50,"XS",1,"S",2,"M",3,"L",5,"XL",8,"XXL",13,"XXXL",21,"")</f>
        <v/>
      </c>
      <c r="J50" s="8"/>
      <c r="K50" s="8"/>
      <c r="L50" s="8"/>
    </row>
    <row r="51" spans="1:12" x14ac:dyDescent="0.3">
      <c r="A51" s="8"/>
      <c r="B51" s="8"/>
      <c r="C51" s="8"/>
      <c r="D51" s="8"/>
      <c r="E51" s="8"/>
      <c r="F51" s="10"/>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9"/>
      <c r="G56" s="8"/>
      <c r="H56" s="8"/>
      <c r="I56" s="8" t="str">
        <f t="array" ref="I56">_xlfn.SWITCH(H56,"XS",1,"S",2,"M",3,"L",5,"XL",8,"XXL",13,"XXXL",21,"")</f>
        <v/>
      </c>
      <c r="J56" s="8"/>
      <c r="K56" s="8"/>
      <c r="L56" s="8"/>
    </row>
    <row r="57" spans="1:12" x14ac:dyDescent="0.3">
      <c r="A57" s="8"/>
      <c r="B57" s="8"/>
      <c r="C57" s="8"/>
      <c r="D57" s="8"/>
      <c r="E57" s="8"/>
      <c r="F57" s="9"/>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7"/>
      <c r="G67" s="8"/>
      <c r="H67" s="8"/>
      <c r="I67" s="8" t="str">
        <f t="array" ref="I67">_xlfn.SWITCH(H67,"XS",1,"S",2,"M",3,"L",5,"XL",8,"XXL",13,"XXXL",21,"")</f>
        <v/>
      </c>
      <c r="J67" s="8"/>
      <c r="K67" s="8"/>
      <c r="L67" s="8"/>
    </row>
    <row r="68" spans="1:12" x14ac:dyDescent="0.3">
      <c r="A68" s="8"/>
      <c r="B68" s="8"/>
      <c r="C68" s="8"/>
      <c r="D68" s="8"/>
      <c r="E68" s="8"/>
      <c r="F68" s="9"/>
      <c r="G68" s="8"/>
      <c r="H68" s="8"/>
      <c r="I68" s="8" t="str">
        <f t="array" ref="I68">_xlfn.SWITCH(H68,"XS",1,"S",2,"M",3,"L",5,"XL",8,"XXL",13,"XXXL",21,"")</f>
        <v/>
      </c>
      <c r="J68" s="8"/>
      <c r="K68" s="8"/>
      <c r="L68" s="8"/>
    </row>
    <row r="69" spans="1:12" x14ac:dyDescent="0.3">
      <c r="A69" s="8"/>
      <c r="B69" s="8"/>
      <c r="C69" s="8"/>
      <c r="D69" s="8"/>
      <c r="E69" s="8"/>
      <c r="F69" s="7"/>
      <c r="G69" s="8"/>
      <c r="H69" s="8"/>
      <c r="I69" s="8" t="str">
        <f t="array" ref="I69">_xlfn.SWITCH(H69,"XS",1,"S",2,"M",3,"L",5,"XL",8,"XXL",13,"XXXL",21,"")</f>
        <v/>
      </c>
      <c r="J69" s="8"/>
      <c r="K69" s="8"/>
      <c r="L69" s="8"/>
    </row>
    <row r="70" spans="1:12" x14ac:dyDescent="0.3">
      <c r="A70" s="8"/>
      <c r="B70" s="8"/>
      <c r="C70" s="8"/>
      <c r="D70" s="8"/>
      <c r="E70" s="8"/>
      <c r="F70" s="7"/>
      <c r="G70" s="8"/>
      <c r="H70" s="8"/>
      <c r="I70" s="8" t="str">
        <f t="array" ref="I70">_xlfn.SWITCH(H70,"XS",1,"S",2,"M",3,"L",5,"XL",8,"XXL",13,"XXXL",21,"")</f>
        <v/>
      </c>
      <c r="J70" s="8"/>
      <c r="K70" s="8"/>
      <c r="L70" s="8"/>
    </row>
    <row r="71" spans="1:12" x14ac:dyDescent="0.3">
      <c r="A71" s="8"/>
      <c r="B71" s="8"/>
      <c r="C71" s="8"/>
      <c r="D71" s="8"/>
      <c r="E71" s="8"/>
      <c r="F71" s="9"/>
      <c r="G71" s="8"/>
      <c r="H71" s="8"/>
      <c r="I71" s="8" t="str">
        <f t="array" ref="I71">_xlfn.SWITCH(H71,"XS",1,"S",2,"M",3,"L",5,"XL",8,"XXL",13,"XXXL",21,"")</f>
        <v/>
      </c>
      <c r="J71" s="8"/>
      <c r="K71" s="8"/>
      <c r="L71" s="8"/>
    </row>
    <row r="72" spans="1:12" x14ac:dyDescent="0.3">
      <c r="A72" s="8"/>
      <c r="B72" s="8"/>
      <c r="C72" s="8"/>
      <c r="D72" s="8"/>
      <c r="E72" s="8"/>
      <c r="F72" s="9"/>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10"/>
      <c r="G76" s="8"/>
      <c r="H76" s="8"/>
      <c r="I76" s="8" t="str">
        <f t="array" ref="I76">_xlfn.SWITCH(H76,"XS",1,"S",2,"M",3,"L",5,"XL",8,"XXL",13,"XXXL",21,"")</f>
        <v/>
      </c>
      <c r="J76" s="8"/>
      <c r="K76" s="8"/>
      <c r="L76" s="8"/>
    </row>
    <row r="77" spans="1:12" x14ac:dyDescent="0.3">
      <c r="A77" s="8"/>
      <c r="B77" s="8"/>
      <c r="C77" s="8"/>
      <c r="D77" s="8"/>
      <c r="E77" s="8"/>
      <c r="F77" s="10"/>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F10" sqref="F10"/>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75-SUM(E$2:E2)</f>
        <v>75</v>
      </c>
      <c r="D2" s="1">
        <f>75*(1-(A2/8))</f>
        <v>75</v>
      </c>
      <c r="E2" s="1">
        <v>0</v>
      </c>
    </row>
    <row r="3" spans="1:12" x14ac:dyDescent="0.3">
      <c r="A3" s="2">
        <v>1</v>
      </c>
      <c r="B3" s="14">
        <v>46252</v>
      </c>
      <c r="C3" s="4">
        <f>75-SUM(E$2:E3)</f>
        <v>75</v>
      </c>
      <c r="D3" s="1">
        <f t="shared" ref="D3:D10" si="0">75*(1-(A3/8))</f>
        <v>65.625</v>
      </c>
      <c r="E3" s="1">
        <v>0</v>
      </c>
    </row>
    <row r="4" spans="1:12" x14ac:dyDescent="0.3">
      <c r="A4" s="2">
        <v>2</v>
      </c>
      <c r="B4" s="14">
        <v>46253</v>
      </c>
      <c r="C4" s="4">
        <f>75-SUM(E$2:E4)</f>
        <v>75</v>
      </c>
      <c r="D4" s="1">
        <f t="shared" si="0"/>
        <v>56.25</v>
      </c>
      <c r="E4" s="1">
        <v>0</v>
      </c>
      <c r="L4" s="3"/>
    </row>
    <row r="5" spans="1:12" x14ac:dyDescent="0.3">
      <c r="A5" s="2">
        <v>3</v>
      </c>
      <c r="B5" s="14">
        <v>46254</v>
      </c>
      <c r="C5" s="4">
        <f>75-SUM(E$2:E5)</f>
        <v>75</v>
      </c>
      <c r="D5" s="1">
        <f t="shared" si="0"/>
        <v>46.875</v>
      </c>
      <c r="E5" s="1">
        <v>0</v>
      </c>
    </row>
    <row r="6" spans="1:12" x14ac:dyDescent="0.3">
      <c r="A6" s="2">
        <v>4</v>
      </c>
      <c r="B6" s="14">
        <v>46255</v>
      </c>
      <c r="C6" s="4">
        <f>75-SUM(E$2:E6)</f>
        <v>75</v>
      </c>
      <c r="D6" s="1">
        <f t="shared" si="0"/>
        <v>37.5</v>
      </c>
      <c r="E6" s="1">
        <v>0</v>
      </c>
    </row>
    <row r="7" spans="1:12" x14ac:dyDescent="0.3">
      <c r="A7" s="2">
        <v>5</v>
      </c>
      <c r="B7" s="14">
        <v>46258</v>
      </c>
      <c r="C7" s="4">
        <f>75-SUM(E$2:E7)</f>
        <v>75</v>
      </c>
      <c r="D7" s="1">
        <f t="shared" si="0"/>
        <v>28.125</v>
      </c>
      <c r="E7" s="1">
        <v>0</v>
      </c>
    </row>
    <row r="8" spans="1:12" x14ac:dyDescent="0.3">
      <c r="A8" s="2">
        <v>6</v>
      </c>
      <c r="B8" s="14">
        <v>46259</v>
      </c>
      <c r="C8" s="4">
        <f>75-SUM(E$2:E8)</f>
        <v>75</v>
      </c>
      <c r="D8" s="1">
        <f t="shared" si="0"/>
        <v>18.75</v>
      </c>
      <c r="E8" s="1">
        <v>0</v>
      </c>
    </row>
    <row r="9" spans="1:12" x14ac:dyDescent="0.3">
      <c r="A9" s="2">
        <v>7</v>
      </c>
      <c r="B9" s="14">
        <v>46260</v>
      </c>
      <c r="C9" s="4">
        <f>75-SUM(E$2:E9)</f>
        <v>75</v>
      </c>
      <c r="D9" s="1">
        <f t="shared" si="0"/>
        <v>9.375</v>
      </c>
      <c r="E9" s="1">
        <v>0</v>
      </c>
    </row>
    <row r="10" spans="1:12" x14ac:dyDescent="0.3">
      <c r="A10" s="2">
        <v>8</v>
      </c>
      <c r="B10" s="14">
        <v>46261</v>
      </c>
      <c r="C10" s="4">
        <f>75-SUM(E$2:E10)</f>
        <v>75</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2026-08-27T06:50:09Z</dcterms:modified>
</cp:coreProperties>
</file>