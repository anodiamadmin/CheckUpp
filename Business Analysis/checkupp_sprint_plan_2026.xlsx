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GitHub\CheckUpp\Business Analysis\"/>
    </mc:Choice>
  </mc:AlternateContent>
  <xr:revisionPtr revIDLastSave="0" documentId="13_ncr:1_{B724599E-6C01-443E-8D63-0E1228C1D30A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Sprint 01" sheetId="1" r:id="rId1"/>
    <sheet name="Sprint 01 Burndown" sheetId="4" r:id="rId2"/>
  </sheets>
  <definedNames>
    <definedName name="_xlnm._FilterDatabase" localSheetId="0" hidden="1">'Sprint 01'!$E$1:$E$123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" i="4" l="1"/>
  <c r="D4" i="4"/>
  <c r="D5" i="4"/>
  <c r="D6" i="4"/>
  <c r="D7" i="4"/>
  <c r="D8" i="4"/>
  <c r="D9" i="4"/>
  <c r="D10" i="4"/>
  <c r="D2" i="4"/>
  <c r="C3" i="4"/>
  <c r="C4" i="4"/>
  <c r="C5" i="4"/>
  <c r="C6" i="4"/>
  <c r="C7" i="4"/>
  <c r="C8" i="4"/>
  <c r="C9" i="4"/>
  <c r="C10" i="4"/>
  <c r="C2" i="4"/>
  <c r="I13" i="1" a="1"/>
  <c r="I13" i="1" s="1"/>
  <c r="I12" i="1" a="1"/>
  <c r="I12" i="1" s="1"/>
  <c r="I6" i="1" a="1"/>
  <c r="I6" i="1" s="1"/>
  <c r="I7" i="1" a="1"/>
  <c r="I7" i="1" s="1"/>
  <c r="I8" i="1" a="1"/>
  <c r="I8" i="1" s="1"/>
  <c r="I9" i="1" a="1"/>
  <c r="I9" i="1" s="1"/>
  <c r="I10" i="1" a="1"/>
  <c r="I10" i="1" s="1"/>
  <c r="I11" i="1" a="1"/>
  <c r="I11" i="1" s="1"/>
  <c r="I14" i="1" a="1"/>
  <c r="I14" i="1" s="1"/>
  <c r="I15" i="1" a="1"/>
  <c r="I15" i="1" s="1"/>
  <c r="I16" i="1" a="1"/>
  <c r="I16" i="1" s="1"/>
  <c r="I17" i="1" a="1"/>
  <c r="I17" i="1" s="1"/>
  <c r="I18" i="1" a="1"/>
  <c r="I18" i="1" s="1"/>
  <c r="I19" i="1" a="1"/>
  <c r="I19" i="1" s="1"/>
  <c r="I20" i="1" a="1"/>
  <c r="I20" i="1" s="1"/>
  <c r="I21" i="1" a="1"/>
  <c r="I21" i="1" s="1"/>
  <c r="I22" i="1" a="1"/>
  <c r="I22" i="1" s="1"/>
  <c r="I23" i="1" a="1"/>
  <c r="I23" i="1" s="1"/>
  <c r="I24" i="1" a="1"/>
  <c r="I24" i="1" s="1"/>
  <c r="I25" i="1" a="1"/>
  <c r="I25" i="1" s="1"/>
  <c r="I26" i="1" a="1"/>
  <c r="I26" i="1" s="1"/>
  <c r="I27" i="1" a="1"/>
  <c r="I27" i="1" s="1"/>
  <c r="I28" i="1" a="1"/>
  <c r="I28" i="1" s="1"/>
  <c r="I29" i="1" a="1"/>
  <c r="I29" i="1" s="1"/>
  <c r="I30" i="1" a="1"/>
  <c r="I30" i="1" s="1"/>
  <c r="I31" i="1" a="1"/>
  <c r="I31" i="1" s="1"/>
  <c r="I32" i="1" a="1"/>
  <c r="I32" i="1" s="1"/>
  <c r="I33" i="1" a="1"/>
  <c r="I33" i="1" s="1"/>
  <c r="I34" i="1" a="1"/>
  <c r="I34" i="1" s="1"/>
  <c r="I35" i="1" a="1"/>
  <c r="I35" i="1" s="1"/>
  <c r="I36" i="1" a="1"/>
  <c r="I36" i="1" s="1"/>
  <c r="I37" i="1" a="1"/>
  <c r="I37" i="1" s="1"/>
  <c r="I38" i="1" a="1"/>
  <c r="I38" i="1" s="1"/>
  <c r="I39" i="1" a="1"/>
  <c r="I39" i="1" s="1"/>
  <c r="I40" i="1" a="1"/>
  <c r="I40" i="1" s="1"/>
  <c r="I41" i="1" a="1"/>
  <c r="I41" i="1" s="1"/>
  <c r="I42" i="1" a="1"/>
  <c r="I42" i="1" s="1"/>
  <c r="I43" i="1" a="1"/>
  <c r="I43" i="1" s="1"/>
  <c r="I44" i="1" a="1"/>
  <c r="I44" i="1" s="1"/>
  <c r="I45" i="1" a="1"/>
  <c r="I45" i="1" s="1"/>
  <c r="I46" i="1" a="1"/>
  <c r="I46" i="1" s="1"/>
  <c r="I47" i="1" a="1"/>
  <c r="I47" i="1" s="1"/>
  <c r="I48" i="1" a="1"/>
  <c r="I48" i="1" s="1"/>
  <c r="I49" i="1" a="1"/>
  <c r="I49" i="1" s="1"/>
  <c r="I50" i="1" a="1"/>
  <c r="I50" i="1" s="1"/>
  <c r="I51" i="1" a="1"/>
  <c r="I51" i="1" s="1"/>
  <c r="I52" i="1" a="1"/>
  <c r="I52" i="1" s="1"/>
  <c r="I53" i="1" a="1"/>
  <c r="I53" i="1" s="1"/>
  <c r="I54" i="1" a="1"/>
  <c r="I54" i="1" s="1"/>
  <c r="I55" i="1" a="1"/>
  <c r="I55" i="1" s="1"/>
  <c r="I56" i="1" a="1"/>
  <c r="I56" i="1" s="1"/>
  <c r="I57" i="1" a="1"/>
  <c r="I57" i="1" s="1"/>
  <c r="I58" i="1" a="1"/>
  <c r="I58" i="1" s="1"/>
  <c r="I59" i="1" a="1"/>
  <c r="I59" i="1" s="1"/>
  <c r="I60" i="1" a="1"/>
  <c r="I60" i="1" s="1"/>
  <c r="I61" i="1" a="1"/>
  <c r="I61" i="1" s="1"/>
  <c r="I62" i="1" a="1"/>
  <c r="I62" i="1" s="1"/>
  <c r="I63" i="1" a="1"/>
  <c r="I63" i="1" s="1"/>
  <c r="I64" i="1" a="1"/>
  <c r="I64" i="1" s="1"/>
  <c r="I65" i="1" a="1"/>
  <c r="I65" i="1" s="1"/>
  <c r="I66" i="1" a="1"/>
  <c r="I66" i="1" s="1"/>
  <c r="I67" i="1" a="1"/>
  <c r="I67" i="1" s="1"/>
  <c r="I68" i="1" a="1"/>
  <c r="I68" i="1" s="1"/>
  <c r="I69" i="1" a="1"/>
  <c r="I69" i="1" s="1"/>
  <c r="I70" i="1" a="1"/>
  <c r="I70" i="1" s="1"/>
  <c r="I71" i="1" a="1"/>
  <c r="I71" i="1" s="1"/>
  <c r="I72" i="1" a="1"/>
  <c r="I72" i="1" s="1"/>
  <c r="I73" i="1" a="1"/>
  <c r="I73" i="1" s="1"/>
  <c r="I74" i="1" a="1"/>
  <c r="I74" i="1" s="1"/>
  <c r="I75" i="1" a="1"/>
  <c r="I75" i="1" s="1"/>
  <c r="I76" i="1" a="1"/>
  <c r="I76" i="1" s="1"/>
  <c r="I77" i="1" a="1"/>
  <c r="I77" i="1" s="1"/>
  <c r="I78" i="1" a="1"/>
  <c r="I78" i="1" s="1"/>
  <c r="I79" i="1" a="1"/>
  <c r="I79" i="1" s="1"/>
  <c r="I80" i="1" a="1"/>
  <c r="I80" i="1" s="1"/>
  <c r="I81" i="1" a="1"/>
  <c r="I81" i="1" s="1"/>
  <c r="I82" i="1" a="1"/>
  <c r="I82" i="1" s="1"/>
  <c r="I83" i="1" a="1"/>
  <c r="I83" i="1" s="1"/>
  <c r="I84" i="1" a="1"/>
  <c r="I84" i="1" s="1"/>
  <c r="I85" i="1" a="1"/>
  <c r="I85" i="1" s="1"/>
  <c r="I86" i="1" a="1"/>
  <c r="I86" i="1" s="1"/>
  <c r="I87" i="1" a="1"/>
  <c r="I87" i="1" s="1"/>
  <c r="I88" i="1" a="1"/>
  <c r="I88" i="1" s="1"/>
  <c r="I89" i="1" a="1"/>
  <c r="I89" i="1" s="1"/>
  <c r="I90" i="1" a="1"/>
  <c r="I90" i="1" s="1"/>
  <c r="I91" i="1" a="1"/>
  <c r="I91" i="1" s="1"/>
  <c r="I92" i="1" a="1"/>
  <c r="I92" i="1" s="1"/>
  <c r="I93" i="1" a="1"/>
  <c r="I93" i="1" s="1"/>
  <c r="I94" i="1" a="1"/>
  <c r="I94" i="1" s="1"/>
  <c r="I95" i="1" a="1"/>
  <c r="I95" i="1" s="1"/>
  <c r="I96" i="1" a="1"/>
  <c r="I96" i="1" s="1"/>
  <c r="I97" i="1" a="1"/>
  <c r="I97" i="1" s="1"/>
  <c r="I98" i="1" a="1"/>
  <c r="I98" i="1" s="1"/>
  <c r="I99" i="1" a="1"/>
  <c r="I99" i="1" s="1"/>
  <c r="I100" i="1" a="1"/>
  <c r="I100" i="1" s="1"/>
  <c r="I101" i="1" a="1"/>
  <c r="I101" i="1" s="1"/>
  <c r="I102" i="1" a="1"/>
  <c r="I102" i="1" s="1"/>
  <c r="I103" i="1" a="1"/>
  <c r="I103" i="1" s="1"/>
  <c r="I104" i="1" a="1"/>
  <c r="I104" i="1" s="1"/>
  <c r="I105" i="1" a="1"/>
  <c r="I105" i="1" s="1"/>
  <c r="I106" i="1" a="1"/>
  <c r="I106" i="1" s="1"/>
  <c r="I107" i="1" a="1"/>
  <c r="I107" i="1" s="1"/>
  <c r="I108" i="1" a="1"/>
  <c r="I108" i="1" s="1"/>
  <c r="I109" i="1" a="1"/>
  <c r="I109" i="1" s="1"/>
  <c r="I110" i="1" a="1"/>
  <c r="I110" i="1" s="1"/>
  <c r="I111" i="1" a="1"/>
  <c r="I111" i="1" s="1"/>
  <c r="I112" i="1" a="1"/>
  <c r="I112" i="1" s="1"/>
  <c r="I3" i="1" a="1"/>
  <c r="I3" i="1" s="1"/>
  <c r="I4" i="1" a="1"/>
  <c r="I4" i="1" s="1"/>
  <c r="I5" i="1" a="1"/>
  <c r="I5" i="1" s="1"/>
  <c r="I2" i="1" a="1"/>
  <c r="I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<sst xmlns="http://schemas.openxmlformats.org/spreadsheetml/2006/main" count="158" uniqueCount="76">
  <si>
    <t>Epic</t>
  </si>
  <si>
    <t>User Story ID</t>
  </si>
  <si>
    <t>User Story (Short)</t>
  </si>
  <si>
    <t>Task</t>
  </si>
  <si>
    <t>Assigned To</t>
  </si>
  <si>
    <t>Status</t>
  </si>
  <si>
    <t>Blocker / Notes</t>
  </si>
  <si>
    <t>DoD Met?</t>
  </si>
  <si>
    <t>T-Shirt Sizing</t>
  </si>
  <si>
    <t>Story Point</t>
  </si>
  <si>
    <t>Scope</t>
  </si>
  <si>
    <t>Task #</t>
  </si>
  <si>
    <t>Days</t>
  </si>
  <si>
    <t>Actual Story Points Left</t>
  </si>
  <si>
    <t>Expected Story Points Left</t>
  </si>
  <si>
    <t>Story Points Done</t>
  </si>
  <si>
    <t>Setup</t>
  </si>
  <si>
    <t>Clone the folllowing GitHub repositories:
1. checkupp-mobile
2. checkupp-api</t>
  </si>
  <si>
    <t>All</t>
  </si>
  <si>
    <t>XS</t>
  </si>
  <si>
    <t>ToDo</t>
  </si>
  <si>
    <t>Frontend</t>
  </si>
  <si>
    <t>Alekhya</t>
  </si>
  <si>
    <t>Backend</t>
  </si>
  <si>
    <t>S</t>
  </si>
  <si>
    <t>Sayan</t>
  </si>
  <si>
    <t>Your Health Overview</t>
  </si>
  <si>
    <t>Setup Dev environment</t>
  </si>
  <si>
    <t>M</t>
  </si>
  <si>
    <t>View Upcoming Appointments</t>
  </si>
  <si>
    <t>Atish</t>
  </si>
  <si>
    <t>L</t>
  </si>
  <si>
    <t>Test</t>
  </si>
  <si>
    <t>Make Your Health Overview interactive and modular</t>
  </si>
  <si>
    <t>Dev environment setup</t>
  </si>
  <si>
    <t>Implement business logic for Your Health Overview</t>
  </si>
  <si>
    <t>Implement backend API for Your Health Overview</t>
  </si>
  <si>
    <t>Unit &amp; Integration tests for Your Health Overview</t>
  </si>
  <si>
    <t>View Upcoming, Due, Completed screenings</t>
  </si>
  <si>
    <r>
      <rPr>
        <b/>
        <sz val="11"/>
        <color theme="1"/>
        <rFont val="Calibri"/>
        <family val="2"/>
        <scheme val="minor"/>
      </rPr>
      <t>Extract Hardcoded "Your Health Overview" Section into a Standalone Component &amp; Import in Home Screen</t>
    </r>
    <r>
      <rPr>
        <sz val="11"/>
        <color theme="1"/>
        <rFont val="Calibri"/>
        <family val="2"/>
        <scheme val="minor"/>
      </rPr>
      <t xml:space="preserve">
- Create </t>
    </r>
    <r>
      <rPr>
        <b/>
        <sz val="11"/>
        <color theme="1"/>
        <rFont val="Calibri"/>
        <family val="2"/>
        <scheme val="minor"/>
      </rPr>
      <t>checkupp-mobile/components/home/HealthOverviewSection.tsx</t>
    </r>
    <r>
      <rPr>
        <sz val="11"/>
        <color theme="1"/>
        <rFont val="Calibri"/>
        <family val="2"/>
        <scheme val="minor"/>
      </rPr>
      <t xml:space="preserve">
- Modify </t>
    </r>
    <r>
      <rPr>
        <b/>
        <sz val="11"/>
        <color theme="1"/>
        <rFont val="Calibri"/>
        <family val="2"/>
        <scheme val="minor"/>
      </rPr>
      <t>checkupp-mobile/app/(tabs)/home.tsx</t>
    </r>
    <r>
      <rPr>
        <sz val="11"/>
        <color theme="1"/>
        <rFont val="Calibri"/>
        <family val="2"/>
        <scheme val="minor"/>
      </rPr>
      <t xml:space="preserve">
- Extract Component: Remove the entire JSX block under {/* Stats Overview */} from </t>
    </r>
    <r>
      <rPr>
        <b/>
        <sz val="11"/>
        <color theme="1"/>
        <rFont val="Calibri"/>
        <family val="2"/>
        <scheme val="minor"/>
      </rPr>
      <t>checkupp-mobile/app/(tabs)/home.tsx</t>
    </r>
    <r>
      <rPr>
        <sz val="11"/>
        <color theme="1"/>
        <rFont val="Calibri"/>
        <family val="2"/>
        <scheme val="minor"/>
      </rPr>
      <t xml:space="preserve"> (the card displaying the "Your Health Overview" title, overviewStatus subtitle, completion percentage, and upcoming count).
- Create a new modular, functional React Native component at </t>
    </r>
    <r>
      <rPr>
        <b/>
        <sz val="11"/>
        <color theme="1"/>
        <rFont val="Calibri"/>
        <family val="2"/>
        <scheme val="minor"/>
      </rPr>
      <t>checkupp-mobile/components/home/HealthOverviewSection.tsx</t>
    </r>
    <r>
      <rPr>
        <sz val="11"/>
        <color theme="1"/>
        <rFont val="Calibri"/>
        <family val="2"/>
        <scheme val="minor"/>
      </rPr>
      <t xml:space="preserve">.
- Define TypeScript interface HealthOverviewSectionProps:
TypeScript
export interface HealthOverviewSectionProps {
  overview: ScreeningOverviewData;  loading: boolean; refreshing: boolean; onPress: () =&gt; void; }
- </t>
    </r>
    <r>
      <rPr>
        <b/>
        <sz val="11"/>
        <color theme="1"/>
        <rFont val="Calibri"/>
        <family val="2"/>
        <scheme val="minor"/>
      </rPr>
      <t>Make Interactive</t>
    </r>
    <r>
      <rPr>
        <sz val="11"/>
        <color theme="1"/>
        <rFont val="Calibri"/>
        <family val="2"/>
        <scheme val="minor"/>
      </rPr>
      <t xml:space="preserve">: Wrap the outermost white card container (bg-white rounded-xl border border-gray-100) in a TouchableOpacity with activeOpacity={0.7} and assign onPress={onPress}.
- </t>
    </r>
    <r>
      <rPr>
        <sz val="11"/>
        <color theme="1" tint="4.9989318521683403E-2"/>
        <rFont val="Calibri"/>
        <family val="2"/>
        <scheme val="minor"/>
      </rPr>
      <t xml:space="preserve">Add a visual affordance: Text - "See more" + subtle chevron-forward (&gt;) icon from </t>
    </r>
    <r>
      <rPr>
        <b/>
        <sz val="11"/>
        <color theme="1" tint="4.9989318521683403E-2"/>
        <rFont val="Calibri"/>
        <family val="2"/>
        <scheme val="minor"/>
      </rPr>
      <t>@expo/vector-icons/Ionicons</t>
    </r>
    <r>
      <rPr>
        <sz val="11"/>
        <color theme="1" tint="4.9989318521683403E-2"/>
        <rFont val="Calibri"/>
        <family val="2"/>
        <scheme val="minor"/>
      </rPr>
      <t>, so users understand the card is tappable. Render this at the bottom of the card, aligned center.</t>
    </r>
    <r>
      <rPr>
        <sz val="11"/>
        <color theme="1"/>
        <rFont val="Calibri"/>
        <family val="2"/>
        <scheme val="minor"/>
      </rPr>
      <t xml:space="preserve">
- Refactor Home Screen: In </t>
    </r>
    <r>
      <rPr>
        <b/>
        <sz val="11"/>
        <color theme="1"/>
        <rFont val="Calibri"/>
        <family val="2"/>
        <scheme val="minor"/>
      </rPr>
      <t>checkupp-mobile/app/(tabs)/home.tsx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import HealthOverviewSection from @/components/home/HealthOverviewSection</t>
    </r>
    <r>
      <rPr>
        <sz val="11"/>
        <color theme="1"/>
        <rFont val="Calibri"/>
        <family val="2"/>
        <scheme val="minor"/>
      </rPr>
      <t>.
- Replace the extracted hardcoded block with:
TypeScript
&lt;HealthOverviewSection
  overview={overview} loading={loading} refreshing={refreshing} onPress={() =&gt; router.push("/health-overview")} /&gt;
- Ensure all responsive scaling utilities (</t>
    </r>
    <r>
      <rPr>
        <b/>
        <sz val="11"/>
        <color theme="1"/>
        <rFont val="Calibri"/>
        <family val="2"/>
        <scheme val="minor"/>
      </rPr>
      <t>scale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verticalScale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getFontSize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getSpacing</t>
    </r>
    <r>
      <rPr>
        <sz val="11"/>
        <color theme="1"/>
        <rFont val="Calibri"/>
        <family val="2"/>
        <scheme val="minor"/>
      </rPr>
      <t xml:space="preserve">) and NativeWind/Tailwind classes are imported cleanly in </t>
    </r>
    <r>
      <rPr>
        <b/>
        <sz val="11"/>
        <color theme="1"/>
        <rFont val="Calibri"/>
        <family val="2"/>
        <scheme val="minor"/>
      </rPr>
      <t>HealthOverviewSection.tsx</t>
    </r>
    <r>
      <rPr>
        <sz val="11"/>
        <color theme="1"/>
        <rFont val="Calibri"/>
        <family val="2"/>
        <scheme val="minor"/>
      </rPr>
      <t xml:space="preserve"> with zero visual regression.</t>
    </r>
  </si>
  <si>
    <t>1.1, 1.6</t>
  </si>
  <si>
    <t>1.2, 1.3, 1.4, 1.5</t>
  </si>
  <si>
    <t>1.1, 1.2, 1.3, 1.4, 1.8</t>
  </si>
  <si>
    <t>1.1, 1.2, 1.3, 1.4, 1.6, 1.7</t>
  </si>
  <si>
    <r>
      <rPr>
        <b/>
        <sz val="11"/>
        <color theme="1"/>
        <rFont val="Calibri"/>
        <family val="2"/>
        <scheme val="minor"/>
      </rPr>
      <t>Define Time-Bucketed Screening Overview TypeScript Interfaces, Validation &amp; Sorting Constants</t>
    </r>
    <r>
      <rPr>
        <sz val="11"/>
        <color theme="1"/>
        <rFont val="Calibri"/>
        <family val="2"/>
        <scheme val="minor"/>
      </rPr>
      <t xml:space="preserve">
- Modify: </t>
    </r>
    <r>
      <rPr>
        <b/>
        <sz val="11"/>
        <color theme="1"/>
        <rFont val="Calibri"/>
        <family val="2"/>
        <scheme val="minor"/>
      </rPr>
      <t>checkupp-api/src/modules/screenings/screening.validation.ts</t>
    </r>
    <r>
      <rPr>
        <sz val="11"/>
        <color theme="1"/>
        <rFont val="Calibri"/>
        <family val="2"/>
        <scheme val="minor"/>
      </rPr>
      <t xml:space="preserve">
- Modify: </t>
    </r>
    <r>
      <rPr>
        <b/>
        <sz val="11"/>
        <color theme="1"/>
        <rFont val="Calibri"/>
        <family val="2"/>
        <scheme val="minor"/>
      </rPr>
      <t>checkupp-api/src/modules/screenings/screening.constants.ts</t>
    </r>
    <r>
      <rPr>
        <sz val="11"/>
        <color theme="1"/>
        <rFont val="Calibri"/>
        <family val="2"/>
        <scheme val="minor"/>
      </rPr>
      <t xml:space="preserve">
- In </t>
    </r>
    <r>
      <rPr>
        <b/>
        <sz val="11"/>
        <color theme="1"/>
        <rFont val="Calibri"/>
        <family val="2"/>
        <scheme val="minor"/>
      </rPr>
      <t>checkupp-api/src/modules/screenings/screening.constants.ts</t>
    </r>
    <r>
      <rPr>
        <sz val="11"/>
        <color theme="1"/>
        <rFont val="Calibri"/>
        <family val="2"/>
        <scheme val="minor"/>
      </rPr>
      <t xml:space="preserve">, define and export canonical type definitions for time-bucketed overview responses:
TypeScript
export interface ScreeningOverviewItem {
  id: string; 
  name: string;
  date: string; // ISO-8601 date string
  screeningType: 'cancer' | 'health' | 'immunization';
  status: 'PENDING' | 'COMPLETED' | 'OVERDUE' | 'RESCHEDULED';
  isOverdue: boolean;
}
export interface ScreeningOverviewResponse {
  counts: {
    upcoming: number;
    due: number;
    completed: number;
  };
  upcoming: ScreeningOverviewItem[];
  due: ScreeningOverviewItem[];
  completed: ScreeningOverviewItem[];
}
- In </t>
    </r>
    <r>
      <rPr>
        <b/>
        <sz val="11"/>
        <color theme="1"/>
        <rFont val="Calibri"/>
        <family val="2"/>
        <scheme val="minor"/>
      </rPr>
      <t>checkupp-api/src/modules/screenings/screening.validation.ts</t>
    </r>
    <r>
      <rPr>
        <sz val="11"/>
        <color theme="1"/>
        <rFont val="Calibri"/>
        <family val="2"/>
        <scheme val="minor"/>
      </rPr>
      <t>, ensure request schema validation for the overview route requires zero query parameters and relies strictly on authenticated JWT user context.</t>
    </r>
  </si>
  <si>
    <t>1.1, 1.2, 1.3, 1.4, 1.7</t>
  </si>
  <si>
    <r>
      <t xml:space="preserve">Implement </t>
    </r>
    <r>
      <rPr>
        <b/>
        <sz val="11"/>
        <color theme="1"/>
        <rFont val="Calibri"/>
        <family val="2"/>
        <scheme val="minor"/>
      </rPr>
      <t>GET /me/screenings/overview</t>
    </r>
    <r>
      <rPr>
        <sz val="11"/>
        <color theme="1"/>
        <rFont val="Calibri"/>
        <family val="2"/>
        <scheme val="minor"/>
      </rPr>
      <t xml:space="preserve"> Time-Bucketed Aggregation &amp; Chronological Sorting Endpoint
1. Modify: </t>
    </r>
    <r>
      <rPr>
        <b/>
        <sz val="11"/>
        <color theme="1"/>
        <rFont val="Calibri"/>
        <family val="2"/>
        <scheme val="minor"/>
      </rPr>
      <t>checkupp-api/src/modules/screenings/screening.service.ts</t>
    </r>
    <r>
      <rPr>
        <sz val="11"/>
        <color theme="1"/>
        <rFont val="Calibri"/>
        <family val="2"/>
        <scheme val="minor"/>
      </rPr>
      <t xml:space="preserve">,  </t>
    </r>
    <r>
      <rPr>
        <b/>
        <sz val="11"/>
        <color theme="1"/>
        <rFont val="Calibri"/>
        <family val="2"/>
        <scheme val="minor"/>
      </rPr>
      <t>checkupp-api/src/modules/screenings/screening.controller.ts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scheme val="minor"/>
      </rPr>
      <t>checkupp-api/src/modules/screenings/screening.routes.ts
2. Database Querying</t>
    </r>
    <r>
      <rPr>
        <sz val="11"/>
        <color theme="1"/>
        <rFont val="Calibri"/>
        <family val="2"/>
        <scheme val="minor"/>
      </rPr>
      <t xml:space="preserve">: 
- In </t>
    </r>
    <r>
      <rPr>
        <b/>
        <sz val="11"/>
        <color theme="1"/>
        <rFont val="Calibri"/>
        <family val="2"/>
        <scheme val="minor"/>
      </rPr>
      <t>checkupp-api/src/modules/screenings/screening.service.ts</t>
    </r>
    <r>
      <rPr>
        <sz val="11"/>
        <color theme="1"/>
        <rFont val="Calibri"/>
        <family val="2"/>
        <scheme val="minor"/>
      </rPr>
      <t xml:space="preserve">, implement </t>
    </r>
    <r>
      <rPr>
        <b/>
        <sz val="11"/>
        <color theme="1"/>
        <rFont val="Calibri"/>
        <family val="2"/>
        <scheme val="minor"/>
      </rPr>
      <t>getScreeningOverview(userId: string): Promise&lt;ScreeningOverviewResponse&gt;</t>
    </r>
    <r>
      <rPr>
        <sz val="11"/>
        <color theme="1"/>
        <rFont val="Calibri"/>
        <family val="2"/>
        <scheme val="minor"/>
      </rPr>
      <t>. 
- Query Prisma (</t>
    </r>
    <r>
      <rPr>
        <b/>
        <sz val="11"/>
        <color theme="1"/>
        <rFont val="Calibri"/>
        <family val="2"/>
        <scheme val="minor"/>
      </rPr>
      <t>prisma.screeningDueItem.findMany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scheme val="minor"/>
      </rPr>
      <t>prisma.screeningRecord.findMany</t>
    </r>
    <r>
      <rPr>
        <sz val="11"/>
        <color theme="1"/>
        <rFont val="Calibri"/>
        <family val="2"/>
        <scheme val="minor"/>
      </rPr>
      <t xml:space="preserve">) filtered </t>
    </r>
    <r>
      <rPr>
        <b/>
        <sz val="11"/>
        <color theme="1"/>
        <rFont val="Calibri"/>
        <family val="2"/>
        <scheme val="minor"/>
      </rPr>
      <t>strictly by userId: userId</t>
    </r>
    <r>
      <rPr>
        <sz val="11"/>
        <color theme="1"/>
        <rFont val="Calibri"/>
        <family val="2"/>
        <scheme val="minor"/>
      </rPr>
      <t xml:space="preserve"> for multi-tenant isolation. (US 1.1–1.4 AC: Only screenings associated with the logged-in user's account must be displayed).
3. </t>
    </r>
    <r>
      <rPr>
        <b/>
        <sz val="11"/>
        <color theme="1"/>
        <rFont val="Calibri"/>
        <family val="2"/>
        <scheme val="minor"/>
      </rPr>
      <t>Date Bucketing Rules</t>
    </r>
    <r>
      <rPr>
        <sz val="11"/>
        <color theme="1"/>
        <rFont val="Calibri"/>
        <family val="2"/>
        <scheme val="minor"/>
      </rPr>
      <t xml:space="preserve"> (US 1.2–1.4):
- Calculate </t>
    </r>
    <r>
      <rPr>
        <b/>
        <sz val="11"/>
        <color theme="1"/>
        <rFont val="Calibri"/>
        <family val="2"/>
        <scheme val="minor"/>
      </rPr>
      <t>daysUntilDue = Math.floor((dueDate.getTime() - Date.now()) / (1000 * 60 * 60 * 24))</t>
    </r>
    <r>
      <rPr>
        <sz val="11"/>
        <color theme="1"/>
        <rFont val="Calibri"/>
        <family val="2"/>
        <scheme val="minor"/>
      </rPr>
      <t xml:space="preserve">.
- </t>
    </r>
    <r>
      <rPr>
        <b/>
        <sz val="11"/>
        <color theme="1"/>
        <rFont val="Calibri"/>
        <family val="2"/>
        <scheme val="minor"/>
      </rPr>
      <t>Upcoming</t>
    </r>
    <r>
      <rPr>
        <sz val="11"/>
        <color theme="1"/>
        <rFont val="Calibri"/>
        <family val="2"/>
        <scheme val="minor"/>
      </rPr>
      <t xml:space="preserve"> (0 &lt;= daysUntilDue &lt;= 90): Items with non-completed status due within 0 to 90 days.
- </t>
    </r>
    <r>
      <rPr>
        <b/>
        <sz val="11"/>
        <color theme="1"/>
        <rFont val="Calibri"/>
        <family val="2"/>
        <scheme val="minor"/>
      </rPr>
      <t>Due</t>
    </r>
    <r>
      <rPr>
        <sz val="11"/>
        <color theme="1"/>
        <rFont val="Calibri"/>
        <family val="2"/>
        <scheme val="minor"/>
      </rPr>
      <t xml:space="preserve"> (91 &lt;= daysUntilDue &lt;= 365 OR daysUntilDue &lt; 0): Items with non-completed status. If </t>
    </r>
    <r>
      <rPr>
        <b/>
        <sz val="11"/>
        <color theme="1"/>
        <rFont val="Calibri"/>
        <family val="2"/>
        <scheme val="minor"/>
      </rPr>
      <t>daysUntilDue &lt; 0</t>
    </r>
    <r>
      <rPr>
        <sz val="11"/>
        <color theme="1"/>
        <rFont val="Calibri"/>
        <family val="2"/>
        <scheme val="minor"/>
      </rPr>
      <t xml:space="preserve">, flag </t>
    </r>
    <r>
      <rPr>
        <b/>
        <sz val="11"/>
        <color theme="1"/>
        <rFont val="Calibri"/>
        <family val="2"/>
        <scheme val="minor"/>
      </rPr>
      <t>isOverdue = true</t>
    </r>
    <r>
      <rPr>
        <sz val="11"/>
        <color theme="1"/>
        <rFont val="Calibri"/>
        <family val="2"/>
        <scheme val="minor"/>
      </rPr>
      <t xml:space="preserve"> and set</t>
    </r>
    <r>
      <rPr>
        <b/>
        <sz val="11"/>
        <color theme="1"/>
        <rFont val="Calibri"/>
        <family val="2"/>
        <scheme val="minor"/>
      </rPr>
      <t xml:space="preserve"> status = 'OVERDUE'</t>
    </r>
    <r>
      <rPr>
        <sz val="11"/>
        <color theme="1"/>
        <rFont val="Calibri"/>
        <family val="2"/>
        <scheme val="minor"/>
      </rPr>
      <t xml:space="preserve">.
- </t>
    </r>
    <r>
      <rPr>
        <b/>
        <sz val="11"/>
        <color theme="1"/>
        <rFont val="Calibri"/>
        <family val="2"/>
        <scheme val="minor"/>
      </rPr>
      <t>Completed</t>
    </r>
    <r>
      <rPr>
        <sz val="11"/>
        <color theme="1"/>
        <rFont val="Calibri"/>
        <family val="2"/>
        <scheme val="minor"/>
      </rPr>
      <t xml:space="preserve">: Items where status === 'COMPLETED'. Use the completion record date as </t>
    </r>
    <r>
      <rPr>
        <b/>
        <sz val="11"/>
        <color theme="1"/>
        <rFont val="Calibri"/>
        <family val="2"/>
        <scheme val="minor"/>
      </rPr>
      <t>date</t>
    </r>
    <r>
      <rPr>
        <sz val="11"/>
        <color theme="1"/>
        <rFont val="Calibri"/>
        <family val="2"/>
        <scheme val="minor"/>
      </rPr>
      <t xml:space="preserve">.
4. </t>
    </r>
    <r>
      <rPr>
        <b/>
        <sz val="11"/>
        <color theme="1"/>
        <rFont val="Calibri"/>
        <family val="2"/>
        <scheme val="minor"/>
      </rPr>
      <t>Chronological Sorting Engine</t>
    </r>
    <r>
      <rPr>
        <sz val="11"/>
        <color theme="1"/>
        <rFont val="Calibri"/>
        <family val="2"/>
        <scheme val="minor"/>
      </rPr>
      <t xml:space="preserve"> (US 1.7 AC):
- Sort </t>
    </r>
    <r>
      <rPr>
        <b/>
        <sz val="11"/>
        <color theme="1"/>
        <rFont val="Calibri"/>
        <family val="2"/>
        <scheme val="minor"/>
      </rPr>
      <t>upcoming</t>
    </r>
    <r>
      <rPr>
        <sz val="11"/>
        <color theme="1"/>
        <rFont val="Calibri"/>
        <family val="2"/>
        <scheme val="minor"/>
      </rPr>
      <t xml:space="preserve"> array chronologically ascending by </t>
    </r>
    <r>
      <rPr>
        <b/>
        <sz val="11"/>
        <color theme="1"/>
        <rFont val="Calibri"/>
        <family val="2"/>
        <scheme val="minor"/>
      </rPr>
      <t>date</t>
    </r>
    <r>
      <rPr>
        <sz val="11"/>
        <color theme="1"/>
        <rFont val="Calibri"/>
        <family val="2"/>
        <scheme val="minor"/>
      </rPr>
      <t xml:space="preserve"> (earliest upcoming screening at top).
- Sort </t>
    </r>
    <r>
      <rPr>
        <b/>
        <sz val="11"/>
        <color theme="1"/>
        <rFont val="Calibri"/>
        <family val="2"/>
        <scheme val="minor"/>
      </rPr>
      <t>due</t>
    </r>
    <r>
      <rPr>
        <sz val="11"/>
        <color theme="1"/>
        <rFont val="Calibri"/>
        <family val="2"/>
        <scheme val="minor"/>
      </rPr>
      <t xml:space="preserve"> array with </t>
    </r>
    <r>
      <rPr>
        <b/>
        <sz val="11"/>
        <color theme="1"/>
        <rFont val="Calibri"/>
        <family val="2"/>
        <scheme val="minor"/>
      </rPr>
      <t>Overdue pinned to top</t>
    </r>
    <r>
      <rPr>
        <sz val="11"/>
        <color theme="1"/>
        <rFont val="Calibri"/>
        <family val="2"/>
        <scheme val="minor"/>
      </rPr>
      <t xml:space="preserve"> (sorted by most overdue first: smallest/most negative </t>
    </r>
    <r>
      <rPr>
        <b/>
        <sz val="11"/>
        <color theme="1"/>
        <rFont val="Calibri"/>
        <family val="2"/>
        <scheme val="minor"/>
      </rPr>
      <t>daysUntilDue</t>
    </r>
    <r>
      <rPr>
        <sz val="11"/>
        <color theme="1"/>
        <rFont val="Calibri"/>
        <family val="2"/>
        <scheme val="minor"/>
      </rPr>
      <t xml:space="preserve"> ascending), followed by standard due screenings sorted chronologically ascending by </t>
    </r>
    <r>
      <rPr>
        <b/>
        <sz val="11"/>
        <color theme="1"/>
        <rFont val="Calibri"/>
        <family val="2"/>
        <scheme val="minor"/>
      </rPr>
      <t>date</t>
    </r>
    <r>
      <rPr>
        <sz val="11"/>
        <color theme="1"/>
        <rFont val="Calibri"/>
        <family val="2"/>
        <scheme val="minor"/>
      </rPr>
      <t xml:space="preserve">.
- Sort </t>
    </r>
    <r>
      <rPr>
        <b/>
        <sz val="11"/>
        <color theme="1"/>
        <rFont val="Calibri"/>
        <family val="2"/>
        <scheme val="minor"/>
      </rPr>
      <t>completed</t>
    </r>
    <r>
      <rPr>
        <sz val="11"/>
        <color theme="1"/>
        <rFont val="Calibri"/>
        <family val="2"/>
        <scheme val="minor"/>
      </rPr>
      <t xml:space="preserve"> array chronologically </t>
    </r>
    <r>
      <rPr>
        <b/>
        <sz val="11"/>
        <color theme="1"/>
        <rFont val="Calibri"/>
        <family val="2"/>
        <scheme val="minor"/>
      </rPr>
      <t>descending</t>
    </r>
    <r>
      <rPr>
        <sz val="11"/>
        <color theme="1"/>
        <rFont val="Calibri"/>
        <family val="2"/>
        <scheme val="minor"/>
      </rPr>
      <t xml:space="preserve"> by completion date (most recently completed at top).
5. </t>
    </r>
    <r>
      <rPr>
        <b/>
        <sz val="11"/>
        <color theme="1"/>
        <rFont val="Calibri"/>
        <family val="2"/>
        <scheme val="minor"/>
      </rPr>
      <t>Counts Calculation</t>
    </r>
    <r>
      <rPr>
        <sz val="11"/>
        <color theme="1"/>
        <rFont val="Calibri"/>
        <family val="2"/>
        <scheme val="minor"/>
      </rPr>
      <t xml:space="preserve">: Return </t>
    </r>
    <r>
      <rPr>
        <b/>
        <sz val="11"/>
        <color theme="1"/>
        <rFont val="Calibri"/>
        <family val="2"/>
        <scheme val="minor"/>
      </rPr>
      <t>{ counts: { upcoming: upcoming.length, due: due.length, completed: completed.length }, upcoming, due, completed }</t>
    </r>
    <r>
      <rPr>
        <sz val="11"/>
        <color theme="1"/>
        <rFont val="Calibri"/>
        <family val="2"/>
        <scheme val="minor"/>
      </rPr>
      <t xml:space="preserve">.
6. </t>
    </r>
    <r>
      <rPr>
        <b/>
        <sz val="11"/>
        <color theme="1"/>
        <rFont val="Calibri"/>
        <family val="2"/>
        <scheme val="minor"/>
      </rPr>
      <t>Route Binding</t>
    </r>
    <r>
      <rPr>
        <sz val="11"/>
        <color theme="1"/>
        <rFont val="Calibri"/>
        <family val="2"/>
        <scheme val="minor"/>
      </rPr>
      <t xml:space="preserve">: Register </t>
    </r>
    <r>
      <rPr>
        <b/>
        <sz val="11"/>
        <color theme="1"/>
        <rFont val="Calibri"/>
        <family val="2"/>
        <scheme val="minor"/>
      </rPr>
      <t>router.get('/overview', authMiddleware, getOverviewHandler) in checkupp-api/src/modules/screenings/screening.routes.ts</t>
    </r>
    <r>
      <rPr>
        <sz val="11"/>
        <color theme="1"/>
        <rFont val="Calibri"/>
        <family val="2"/>
        <scheme val="minor"/>
      </rPr>
      <t>.</t>
    </r>
  </si>
  <si>
    <r>
      <rPr>
        <b/>
        <sz val="11"/>
        <color theme="1"/>
        <rFont val="Calibri"/>
        <family val="2"/>
        <scheme val="minor"/>
      </rPr>
      <t>Implement Background Cycle Recalculation Service &amp; Schedule Auto-Transition Logic</t>
    </r>
    <r>
      <rPr>
        <sz val="11"/>
        <color theme="1"/>
        <rFont val="Calibri"/>
        <family val="2"/>
        <scheme val="minor"/>
      </rPr>
      <t xml:space="preserve">
1. Modify </t>
    </r>
    <r>
      <rPr>
        <b/>
        <sz val="11"/>
        <color theme="1"/>
        <rFont val="Calibri"/>
        <family val="2"/>
        <scheme val="minor"/>
      </rPr>
      <t>checkupp-api/src/modules/screenings/screening.service.ts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checkupp-api/src/modules/screenings/screening.controller.ts</t>
    </r>
    <r>
      <rPr>
        <sz val="11"/>
        <color theme="1"/>
        <rFont val="Calibri"/>
        <family val="2"/>
        <scheme val="minor"/>
      </rPr>
      <t xml:space="preserve">
2. </t>
    </r>
    <r>
      <rPr>
        <b/>
        <sz val="11"/>
        <color theme="1"/>
        <rFont val="Calibri"/>
        <family val="2"/>
        <scheme val="minor"/>
      </rPr>
      <t>Auto-Transition Hook</t>
    </r>
    <r>
      <rPr>
        <sz val="11"/>
        <color theme="1"/>
        <rFont val="Calibri"/>
        <family val="2"/>
        <scheme val="minor"/>
      </rPr>
      <t xml:space="preserve">: In </t>
    </r>
    <r>
      <rPr>
        <b/>
        <sz val="11"/>
        <color theme="1"/>
        <rFont val="Calibri"/>
        <family val="2"/>
        <scheme val="minor"/>
      </rPr>
      <t>checkupp-api/src/modules/screenings/screening.service.ts</t>
    </r>
    <r>
      <rPr>
        <sz val="11"/>
        <color theme="1"/>
        <rFont val="Calibri"/>
        <family val="2"/>
        <scheme val="minor"/>
      </rPr>
      <t xml:space="preserve">, inside </t>
    </r>
    <r>
      <rPr>
        <b/>
        <sz val="11"/>
        <color theme="1"/>
        <rFont val="Calibri"/>
        <family val="2"/>
        <scheme val="minor"/>
      </rPr>
      <t>saveScreeningRecord(userId, screeningId, recordPayload)</t>
    </r>
    <r>
      <rPr>
        <sz val="11"/>
        <color theme="1"/>
        <rFont val="Calibri"/>
        <family val="2"/>
        <scheme val="minor"/>
      </rPr>
      <t xml:space="preserve">, after persisting the </t>
    </r>
    <r>
      <rPr>
        <b/>
        <sz val="11"/>
        <color theme="1"/>
        <rFont val="Calibri"/>
        <family val="2"/>
        <scheme val="minor"/>
      </rPr>
      <t>COMPLETED</t>
    </r>
    <r>
      <rPr>
        <sz val="11"/>
        <color theme="1"/>
        <rFont val="Calibri"/>
        <family val="2"/>
        <scheme val="minor"/>
      </rPr>
      <t xml:space="preserve"> record, immediately mark the active </t>
    </r>
    <r>
      <rPr>
        <b/>
        <sz val="11"/>
        <color theme="1"/>
        <rFont val="Calibri"/>
        <family val="2"/>
        <scheme val="minor"/>
      </rPr>
      <t>ScreeningDueItem</t>
    </r>
    <r>
      <rPr>
        <sz val="11"/>
        <color theme="1"/>
        <rFont val="Calibri"/>
        <family val="2"/>
        <scheme val="minor"/>
      </rPr>
      <t xml:space="preserve"> as </t>
    </r>
    <r>
      <rPr>
        <b/>
        <sz val="11"/>
        <color theme="1"/>
        <rFont val="Calibri"/>
        <family val="2"/>
        <scheme val="minor"/>
      </rPr>
      <t>status: 'COMPLETED'</t>
    </r>
    <r>
      <rPr>
        <sz val="11"/>
        <color theme="1"/>
        <rFont val="Calibri"/>
        <family val="2"/>
        <scheme val="minor"/>
      </rPr>
      <t xml:space="preserve">.
2. </t>
    </r>
    <r>
      <rPr>
        <b/>
        <sz val="11"/>
        <color theme="1"/>
        <rFont val="Calibri"/>
        <family val="2"/>
        <scheme val="minor"/>
      </rPr>
      <t>Next Cycle Calculation Engine</t>
    </r>
    <r>
      <rPr>
        <sz val="11"/>
        <color theme="1"/>
        <rFont val="Calibri"/>
        <family val="2"/>
        <scheme val="minor"/>
      </rPr>
      <t xml:space="preserve"> (US 1.6 AC 3):
- Fetch the canonical clinical guideline interval from </t>
    </r>
    <r>
      <rPr>
        <b/>
        <sz val="11"/>
        <color theme="1"/>
        <rFont val="Calibri"/>
        <family val="2"/>
        <scheme val="minor"/>
      </rPr>
      <t>ScreeningDefinition</t>
    </r>
    <r>
      <rPr>
        <sz val="11"/>
        <color theme="1"/>
        <rFont val="Calibri"/>
        <family val="2"/>
        <scheme val="minor"/>
      </rPr>
      <t xml:space="preserve"> (e.g., intervalMonths: 12, 24, or 3).
- Calculate </t>
    </r>
    <r>
      <rPr>
        <b/>
        <sz val="11"/>
        <color theme="1"/>
        <rFont val="Calibri"/>
        <family val="2"/>
        <scheme val="minor"/>
      </rPr>
      <t>nextDueDate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= addMonths(recordPayload.completedDate, intervalMonths)</t>
    </r>
    <r>
      <rPr>
        <sz val="11"/>
        <color theme="1"/>
        <rFont val="Calibri"/>
        <family val="2"/>
        <scheme val="minor"/>
      </rPr>
      <t xml:space="preserve">.
- Create a new </t>
    </r>
    <r>
      <rPr>
        <b/>
        <sz val="11"/>
        <color theme="1"/>
        <rFont val="Calibri"/>
        <family val="2"/>
        <scheme val="minor"/>
      </rPr>
      <t>ScreeningDueItem</t>
    </r>
    <r>
      <rPr>
        <sz val="11"/>
        <color theme="1"/>
        <rFont val="Calibri"/>
        <family val="2"/>
        <scheme val="minor"/>
      </rPr>
      <t xml:space="preserve"> for </t>
    </r>
    <r>
      <rPr>
        <b/>
        <sz val="11"/>
        <color theme="1"/>
        <rFont val="Calibri"/>
        <family val="2"/>
        <scheme val="minor"/>
      </rPr>
      <t>userId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with date: nextDueDate.toISOString()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scheme val="minor"/>
      </rPr>
      <t>status: 'PENDING'</t>
    </r>
    <r>
      <rPr>
        <sz val="11"/>
        <color theme="1"/>
        <rFont val="Calibri"/>
        <family val="2"/>
        <scheme val="minor"/>
      </rPr>
      <t xml:space="preserve">.
3. </t>
    </r>
    <r>
      <rPr>
        <b/>
        <sz val="11"/>
        <color theme="1"/>
        <rFont val="Calibri"/>
        <family val="2"/>
        <scheme val="minor"/>
      </rPr>
      <t>Immediate Schedule Reflection</t>
    </r>
    <r>
      <rPr>
        <sz val="11"/>
        <color theme="1"/>
        <rFont val="Calibri"/>
        <family val="2"/>
        <scheme val="minor"/>
      </rPr>
      <t xml:space="preserve">: Ensure any subsequent call to </t>
    </r>
    <r>
      <rPr>
        <b/>
        <sz val="11"/>
        <color theme="1"/>
        <rFont val="Calibri"/>
        <family val="2"/>
        <scheme val="minor"/>
      </rPr>
      <t>GET /me/screenings/overview</t>
    </r>
    <r>
      <rPr>
        <sz val="11"/>
        <color theme="1"/>
        <rFont val="Calibri"/>
        <family val="2"/>
        <scheme val="minor"/>
      </rPr>
      <t xml:space="preserve"> immediately reflects the newly completed item under </t>
    </r>
    <r>
      <rPr>
        <b/>
        <sz val="11"/>
        <color theme="1"/>
        <rFont val="Calibri"/>
        <family val="2"/>
        <scheme val="minor"/>
      </rPr>
      <t>Completed</t>
    </r>
    <r>
      <rPr>
        <sz val="11"/>
        <color theme="1"/>
        <rFont val="Calibri"/>
        <family val="2"/>
        <scheme val="minor"/>
      </rPr>
      <t xml:space="preserve"> and appropriately places the newly generated next cycle item under </t>
    </r>
    <r>
      <rPr>
        <b/>
        <sz val="11"/>
        <color theme="1"/>
        <rFont val="Calibri"/>
        <family val="2"/>
        <scheme val="minor"/>
      </rPr>
      <t>Upcoming</t>
    </r>
    <r>
      <rPr>
        <sz val="11"/>
        <color theme="1"/>
        <rFont val="Calibri"/>
        <family val="2"/>
        <scheme val="minor"/>
      </rPr>
      <t xml:space="preserve"> or </t>
    </r>
    <r>
      <rPr>
        <b/>
        <sz val="11"/>
        <color theme="1"/>
        <rFont val="Calibri"/>
        <family val="2"/>
        <scheme val="minor"/>
      </rPr>
      <t>Due</t>
    </r>
    <r>
      <rPr>
        <sz val="11"/>
        <color theme="1"/>
        <rFont val="Calibri"/>
        <family val="2"/>
        <scheme val="minor"/>
      </rPr>
      <t xml:space="preserve"> based on </t>
    </r>
    <r>
      <rPr>
        <b/>
        <sz val="11"/>
        <color theme="1"/>
        <rFont val="Calibri"/>
        <family val="2"/>
        <scheme val="minor"/>
      </rPr>
      <t>nextDueDate</t>
    </r>
    <r>
      <rPr>
        <sz val="11"/>
        <color theme="1"/>
        <rFont val="Calibri"/>
        <family val="2"/>
        <scheme val="minor"/>
      </rPr>
      <t>.</t>
    </r>
  </si>
  <si>
    <r>
      <rPr>
        <b/>
        <sz val="11"/>
        <color theme="1"/>
        <rFont val="Calibri"/>
        <family val="2"/>
        <scheme val="minor"/>
      </rPr>
      <t>Automated Unit &amp; Integration Test Suite for Overview Date Boundaries &amp; Overdue Flags</t>
    </r>
    <r>
      <rPr>
        <sz val="11"/>
        <color theme="1"/>
        <rFont val="Calibri"/>
        <family val="2"/>
        <scheme val="minor"/>
      </rPr>
      <t xml:space="preserve">
1.</t>
    </r>
    <r>
      <rPr>
        <b/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Calibri"/>
        <family val="2"/>
        <scheme val="minor"/>
      </rPr>
      <t xml:space="preserve">Create </t>
    </r>
    <r>
      <rPr>
        <b/>
        <sz val="11"/>
        <color theme="1"/>
        <rFont val="Calibri"/>
        <family val="2"/>
        <scheme val="minor"/>
      </rPr>
      <t>checkupp-api/tests/modules/screenings/overview-sorting-and-cycles.test.ts</t>
    </r>
    <r>
      <rPr>
        <sz val="11"/>
        <color theme="1"/>
        <rFont val="Calibri"/>
        <family val="2"/>
        <scheme val="minor"/>
      </rPr>
      <t xml:space="preserve">
2. Use </t>
    </r>
    <r>
      <rPr>
        <b/>
        <sz val="11"/>
        <color theme="1"/>
        <rFont val="Calibri"/>
        <family val="2"/>
        <scheme val="minor"/>
      </rPr>
      <t>Jest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scheme val="minor"/>
      </rPr>
      <t>supertest</t>
    </r>
    <r>
      <rPr>
        <sz val="11"/>
        <color theme="1"/>
        <rFont val="Calibri"/>
        <family val="2"/>
        <scheme val="minor"/>
      </rPr>
      <t xml:space="preserve"> against the Express server instance.
3. Seed test database with a mock user (</t>
    </r>
    <r>
      <rPr>
        <b/>
        <sz val="11"/>
        <color theme="1"/>
        <rFont val="Calibri"/>
        <family val="2"/>
        <scheme val="minor"/>
      </rPr>
      <t>user-test-uuid</t>
    </r>
    <r>
      <rPr>
        <sz val="11"/>
        <color theme="1"/>
        <rFont val="Calibri"/>
        <family val="2"/>
        <scheme val="minor"/>
      </rPr>
      <t xml:space="preserve">)
4. </t>
    </r>
    <r>
      <rPr>
        <b/>
        <sz val="11"/>
        <color theme="1"/>
        <rFont val="Calibri"/>
        <family val="2"/>
        <scheme val="minor"/>
      </rPr>
      <t>Test Case 1</t>
    </r>
    <r>
      <rPr>
        <sz val="11"/>
        <color theme="1"/>
        <rFont val="Calibri"/>
        <family val="2"/>
        <scheme val="minor"/>
      </rPr>
      <t xml:space="preserve"> (Chronological Sorting - US 1.7): Seed 3 Upcoming items (due in +80, +10, +45 days). Assert </t>
    </r>
    <r>
      <rPr>
        <b/>
        <sz val="11"/>
        <color theme="1"/>
        <rFont val="Calibri"/>
        <family val="2"/>
        <scheme val="minor"/>
      </rPr>
      <t>res.body.upcoming</t>
    </r>
    <r>
      <rPr>
        <sz val="11"/>
        <color theme="1"/>
        <rFont val="Calibri"/>
        <family val="2"/>
        <scheme val="minor"/>
      </rPr>
      <t xml:space="preserve"> is ordered: +10, +45, +80.
5. </t>
    </r>
    <r>
      <rPr>
        <b/>
        <sz val="11"/>
        <color theme="1"/>
        <rFont val="Calibri"/>
        <family val="2"/>
        <scheme val="minor"/>
      </rPr>
      <t>Test Case 2</t>
    </r>
    <r>
      <rPr>
        <sz val="11"/>
        <color theme="1"/>
        <rFont val="Calibri"/>
        <family val="2"/>
        <scheme val="minor"/>
      </rPr>
      <t xml:space="preserve"> (Overdue Pinning - US 1.7 AC 2):Seed 2 Due items (+120, +200 days) and 2 Overdue items (-5 days, -30 days). Assert </t>
    </r>
    <r>
      <rPr>
        <b/>
        <sz val="11"/>
        <color theme="1"/>
        <rFont val="Calibri"/>
        <family val="2"/>
        <scheme val="minor"/>
      </rPr>
      <t>res.body.due order</t>
    </r>
    <r>
      <rPr>
        <sz val="11"/>
        <color theme="1"/>
        <rFont val="Calibri"/>
        <family val="2"/>
        <scheme val="minor"/>
      </rPr>
      <t xml:space="preserve">: -30 days (most overdue first), -5 days, +120 days, +200 days.
6. </t>
    </r>
    <r>
      <rPr>
        <b/>
        <sz val="11"/>
        <color theme="1"/>
        <rFont val="Calibri"/>
        <family val="2"/>
        <scheme val="minor"/>
      </rPr>
      <t>Test Case 3</t>
    </r>
    <r>
      <rPr>
        <sz val="11"/>
        <color theme="1"/>
        <rFont val="Calibri"/>
        <family val="2"/>
        <scheme val="minor"/>
      </rPr>
      <t xml:space="preserve"> (Next Cycle Auto-Transition - US 1.6):Execute </t>
    </r>
    <r>
      <rPr>
        <b/>
        <sz val="11"/>
        <color theme="1"/>
        <rFont val="Calibri"/>
        <family val="2"/>
        <scheme val="minor"/>
      </rPr>
      <t>POST /me/screenings/records</t>
    </r>
    <r>
      <rPr>
        <sz val="11"/>
        <color theme="1"/>
        <rFont val="Calibri"/>
        <family val="2"/>
        <scheme val="minor"/>
      </rPr>
      <t xml:space="preserve"> to complete an overdue test with a 12-month interval. </t>
    </r>
    <r>
      <rPr>
        <b/>
        <sz val="11"/>
        <color theme="1"/>
        <rFont val="Calibri"/>
        <family val="2"/>
        <scheme val="minor"/>
      </rPr>
      <t>Execute GET /me/screenings/overview</t>
    </r>
    <r>
      <rPr>
        <sz val="11"/>
        <color theme="1"/>
        <rFont val="Calibri"/>
        <family val="2"/>
        <scheme val="minor"/>
      </rPr>
      <t xml:space="preserve"> -&gt; verify old item is in </t>
    </r>
    <r>
      <rPr>
        <b/>
        <sz val="11"/>
        <color theme="1"/>
        <rFont val="Calibri"/>
        <family val="2"/>
        <scheme val="minor"/>
      </rPr>
      <t>completed</t>
    </r>
    <r>
      <rPr>
        <sz val="11"/>
        <color theme="1"/>
        <rFont val="Calibri"/>
        <family val="2"/>
        <scheme val="minor"/>
      </rPr>
      <t xml:space="preserve"> and a new item due in 365 days exists in </t>
    </r>
    <r>
      <rPr>
        <b/>
        <sz val="11"/>
        <color theme="1"/>
        <rFont val="Calibri"/>
        <family val="2"/>
        <scheme val="minor"/>
      </rPr>
      <t>due</t>
    </r>
    <r>
      <rPr>
        <sz val="11"/>
        <color theme="1"/>
        <rFont val="Calibri"/>
        <family val="2"/>
        <scheme val="minor"/>
      </rPr>
      <t>.</t>
    </r>
  </si>
  <si>
    <r>
      <rPr>
        <b/>
        <sz val="11"/>
        <color theme="1"/>
        <rFont val="Calibri"/>
        <family val="2"/>
        <scheme val="minor"/>
      </rPr>
      <t>Extend TanStack Query Client, Hook &amp; Offline Cache Persistence for /me/screenings/overview</t>
    </r>
    <r>
      <rPr>
        <sz val="11"/>
        <color theme="1"/>
        <rFont val="Calibri"/>
        <family val="2"/>
        <scheme val="minor"/>
      </rPr>
      <t xml:space="preserve">
1. Modify </t>
    </r>
    <r>
      <rPr>
        <b/>
        <sz val="11"/>
        <color theme="1"/>
        <rFont val="Calibri"/>
        <family val="2"/>
        <scheme val="minor"/>
      </rPr>
      <t xml:space="preserve">checkupp-mobile/lib/features/screenings/overview.ts </t>
    </r>
    <r>
      <rPr>
        <sz val="11"/>
        <color theme="1"/>
        <rFont val="Calibri"/>
        <family val="2"/>
        <scheme val="minor"/>
      </rPr>
      <t xml:space="preserve">and </t>
    </r>
    <r>
      <rPr>
        <b/>
        <sz val="11"/>
        <color theme="1"/>
        <rFont val="Calibri"/>
        <family val="2"/>
        <scheme val="minor"/>
      </rPr>
      <t>checkupp-mobile/lib/query/keys.ts</t>
    </r>
    <r>
      <rPr>
        <sz val="11"/>
        <color theme="1"/>
        <rFont val="Calibri"/>
        <family val="2"/>
        <scheme val="minor"/>
      </rPr>
      <t xml:space="preserve">
2. Define query key </t>
    </r>
    <r>
      <rPr>
        <b/>
        <sz val="11"/>
        <color theme="1"/>
        <rFont val="Calibri"/>
        <family val="2"/>
        <scheme val="minor"/>
      </rPr>
      <t>screeningKeys.overview(userId)</t>
    </r>
    <r>
      <rPr>
        <sz val="11"/>
        <color theme="1"/>
        <rFont val="Calibri"/>
        <family val="2"/>
        <scheme val="minor"/>
      </rPr>
      <t xml:space="preserve"> in </t>
    </r>
    <r>
      <rPr>
        <b/>
        <sz val="11"/>
        <color theme="1"/>
        <rFont val="Calibri"/>
        <family val="2"/>
        <scheme val="minor"/>
      </rPr>
      <t>checkupp-mobile/lib/query/keys.ts</t>
    </r>
    <r>
      <rPr>
        <sz val="11"/>
        <color theme="1"/>
        <rFont val="Calibri"/>
        <family val="2"/>
        <scheme val="minor"/>
      </rPr>
      <t xml:space="preserve">.
3. In </t>
    </r>
    <r>
      <rPr>
        <b/>
        <sz val="11"/>
        <color theme="1"/>
        <rFont val="Calibri"/>
        <family val="2"/>
        <scheme val="minor"/>
      </rPr>
      <t>checkupp-mobile/lib/features/screenings/overview.ts</t>
    </r>
    <r>
      <rPr>
        <sz val="11"/>
        <color theme="1"/>
        <rFont val="Calibri"/>
        <family val="2"/>
        <scheme val="minor"/>
      </rPr>
      <t xml:space="preserve">, implement custom query hook </t>
    </r>
    <r>
      <rPr>
        <b/>
        <sz val="11"/>
        <color theme="1"/>
        <rFont val="Calibri"/>
        <family val="2"/>
        <scheme val="minor"/>
      </rPr>
      <t>useScreeningOverview(userId?: string)</t>
    </r>
    <r>
      <rPr>
        <sz val="11"/>
        <color theme="1"/>
        <rFont val="Calibri"/>
        <family val="2"/>
        <scheme val="minor"/>
      </rPr>
      <t>:
TypeScript
export const useScreeningOverview = (userId?: string) =&gt; {
  return useQuery&lt;ScreeningOverviewResponse, Error&gt;({
    queryKey: ['screenings', 'overview', userId],
    queryFn: async () =&gt; {
      const { data } = await apiClient.get('/me/screenings/overview');
      return data;
    },
    enabled: !!userId,
    staleTime: 1000 * 60 * 5,
    gcTime: 1000 * 60 * 60 * 24, // 24h cache persistence for offline mode
    retry: 1,
  });
};
4. Ensure TanStack Query is configured with AsyncStorage/MMKV persistence so that cached schedule data remains accessible during offline starts (US 1.8).</t>
    </r>
  </si>
  <si>
    <r>
      <rPr>
        <b/>
        <sz val="11"/>
        <color theme="1"/>
        <rFont val="Calibri"/>
        <family val="2"/>
        <scheme val="minor"/>
      </rPr>
      <t>Build Reusable ScreeningOverviewCard.tsx Component with Overdue Red Styling &amp; Tap Handlers</t>
    </r>
    <r>
      <rPr>
        <sz val="11"/>
        <color theme="1"/>
        <rFont val="Calibri"/>
        <family val="2"/>
        <scheme val="minor"/>
      </rPr>
      <t xml:space="preserve">
1. Create </t>
    </r>
    <r>
      <rPr>
        <b/>
        <sz val="11"/>
        <color theme="1"/>
        <rFont val="Calibri"/>
        <family val="2"/>
        <scheme val="minor"/>
      </rPr>
      <t>checkupp-mobile/components/screening/ScreeningOverviewCard.tsx</t>
    </r>
    <r>
      <rPr>
        <sz val="11"/>
        <color theme="1"/>
        <rFont val="Calibri"/>
        <family val="2"/>
        <scheme val="minor"/>
      </rPr>
      <t xml:space="preserve">
2. </t>
    </r>
    <r>
      <rPr>
        <b/>
        <sz val="11"/>
        <color theme="1"/>
        <rFont val="Calibri"/>
        <family val="2"/>
        <scheme val="minor"/>
      </rPr>
      <t>Props Interface</t>
    </r>
    <r>
      <rPr>
        <sz val="11"/>
        <color theme="1"/>
        <rFont val="Calibri"/>
        <family val="2"/>
        <scheme val="minor"/>
      </rPr>
      <t xml:space="preserve">:
TypeScript
export interface ScreeningOverviewCardProps {
  item: ScreeningOverviewItem;
  type: 'upcoming' | 'due' | 'completed';
  onPress: (item: ScreeningOverviewItem) =&gt; void;
}
3. </t>
    </r>
    <r>
      <rPr>
        <b/>
        <sz val="11"/>
        <color theme="1"/>
        <rFont val="Calibri"/>
        <family val="2"/>
        <scheme val="minor"/>
      </rPr>
      <t>Card Content</t>
    </r>
    <r>
      <rPr>
        <sz val="11"/>
        <color theme="1"/>
        <rFont val="Calibri"/>
        <family val="2"/>
        <scheme val="minor"/>
      </rPr>
      <t>:
- Render the screening name (</t>
    </r>
    <r>
      <rPr>
        <b/>
        <sz val="11"/>
        <color theme="1"/>
        <rFont val="Calibri"/>
        <family val="2"/>
        <scheme val="minor"/>
      </rPr>
      <t>item.name</t>
    </r>
    <r>
      <rPr>
        <sz val="11"/>
        <color theme="1"/>
        <rFont val="Calibri"/>
        <family val="2"/>
        <scheme val="minor"/>
      </rPr>
      <t xml:space="preserve">) in </t>
    </r>
    <r>
      <rPr>
        <b/>
        <sz val="11"/>
        <color theme="1"/>
        <rFont val="Calibri"/>
        <family val="2"/>
        <scheme val="minor"/>
      </rPr>
      <t>Poppins-Medium</t>
    </r>
    <r>
      <rPr>
        <sz val="11"/>
        <color theme="1"/>
        <rFont val="Calibri"/>
        <family val="2"/>
        <scheme val="minor"/>
      </rPr>
      <t xml:space="preserve"> (</t>
    </r>
    <r>
      <rPr>
        <b/>
        <sz val="11"/>
        <color theme="1"/>
        <rFont val="Calibri"/>
        <family val="2"/>
        <scheme val="minor"/>
      </rPr>
      <t>font-pmedium</t>
    </r>
    <r>
      <rPr>
        <sz val="11"/>
        <color theme="1"/>
        <rFont val="Calibri"/>
        <family val="2"/>
        <scheme val="minor"/>
      </rPr>
      <t xml:space="preserve">).
- Format </t>
    </r>
    <r>
      <rPr>
        <b/>
        <sz val="11"/>
        <color theme="1"/>
        <rFont val="Calibri"/>
        <family val="2"/>
        <scheme val="minor"/>
      </rPr>
      <t>item.date</t>
    </r>
    <r>
      <rPr>
        <sz val="11"/>
        <color theme="1"/>
        <rFont val="Calibri"/>
        <family val="2"/>
        <scheme val="minor"/>
      </rPr>
      <t xml:space="preserve"> using </t>
    </r>
    <r>
      <rPr>
        <b/>
        <sz val="11"/>
        <color theme="1"/>
        <rFont val="Calibri"/>
        <family val="2"/>
        <scheme val="minor"/>
      </rPr>
      <t>date-fns</t>
    </r>
    <r>
      <rPr>
        <sz val="11"/>
        <color theme="1"/>
        <rFont val="Calibri"/>
        <family val="2"/>
        <scheme val="minor"/>
      </rPr>
      <t xml:space="preserve">: </t>
    </r>
    <r>
      <rPr>
        <b/>
        <sz val="11"/>
        <color theme="1"/>
        <rFont val="Calibri"/>
        <family val="2"/>
        <scheme val="minor"/>
      </rPr>
      <t>format(new Date(item.date), "dd MMM yyyy")</t>
    </r>
    <r>
      <rPr>
        <sz val="11"/>
        <color theme="1"/>
        <rFont val="Calibri"/>
        <family val="2"/>
        <scheme val="minor"/>
      </rPr>
      <t xml:space="preserve"> accompanied by a calendar icon </t>
    </r>
    <r>
      <rPr>
        <b/>
        <sz val="11"/>
        <color theme="1"/>
        <rFont val="Calibri"/>
        <family val="2"/>
        <scheme val="minor"/>
      </rPr>
      <t>(@expo/vector-icons/Ionicons calendar-outline</t>
    </r>
    <r>
      <rPr>
        <sz val="11"/>
        <color theme="1"/>
        <rFont val="Calibri"/>
        <family val="2"/>
        <scheme val="minor"/>
      </rPr>
      <t xml:space="preserve">).
- Implement an accessible touch target (&gt;= 44px height) wrapped in </t>
    </r>
    <r>
      <rPr>
        <b/>
        <sz val="11"/>
        <color theme="1"/>
        <rFont val="Calibri"/>
        <family val="2"/>
        <scheme val="minor"/>
      </rPr>
      <t>TouchableOpacity</t>
    </r>
    <r>
      <rPr>
        <sz val="11"/>
        <color theme="1"/>
        <rFont val="Calibri"/>
        <family val="2"/>
        <scheme val="minor"/>
      </rPr>
      <t xml:space="preserve">.
4. </t>
    </r>
    <r>
      <rPr>
        <b/>
        <sz val="11"/>
        <color theme="1"/>
        <rFont val="Calibri"/>
        <family val="2"/>
        <scheme val="minor"/>
      </rPr>
      <t>Overdue Highlight Styling (US 1.3 AC 2)</t>
    </r>
    <r>
      <rPr>
        <sz val="11"/>
        <color theme="1"/>
        <rFont val="Calibri"/>
        <family val="2"/>
        <scheme val="minor"/>
      </rPr>
      <t xml:space="preserve">:
- When </t>
    </r>
    <r>
      <rPr>
        <b/>
        <sz val="11"/>
        <color theme="1"/>
        <rFont val="Calibri"/>
        <family val="2"/>
        <scheme val="minor"/>
      </rPr>
      <t>type === 'due'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scheme val="minor"/>
      </rPr>
      <t>item.isOverdue === true</t>
    </r>
    <r>
      <rPr>
        <sz val="11"/>
        <color theme="1"/>
        <rFont val="Calibri"/>
        <family val="2"/>
        <scheme val="minor"/>
      </rPr>
      <t xml:space="preserve">:
a. Apply distinctive red card styling: border color </t>
    </r>
    <r>
      <rPr>
        <b/>
        <sz val="11"/>
        <color theme="1"/>
        <rFont val="Calibri"/>
        <family val="2"/>
        <scheme val="minor"/>
      </rPr>
      <t>#EF4444</t>
    </r>
    <r>
      <rPr>
        <sz val="11"/>
        <color theme="1"/>
        <rFont val="Calibri"/>
        <family val="2"/>
        <scheme val="minor"/>
      </rPr>
      <t xml:space="preserve"> (</t>
    </r>
    <r>
      <rPr>
        <b/>
        <sz val="11"/>
        <color theme="1"/>
        <rFont val="Calibri"/>
        <family val="2"/>
        <scheme val="minor"/>
      </rPr>
      <t>border-red-500</t>
    </r>
    <r>
      <rPr>
        <sz val="11"/>
        <color theme="1"/>
        <rFont val="Calibri"/>
        <family val="2"/>
        <scheme val="minor"/>
      </rPr>
      <t xml:space="preserve">), background tint </t>
    </r>
    <r>
      <rPr>
        <b/>
        <sz val="11"/>
        <color theme="1"/>
        <rFont val="Calibri"/>
        <family val="2"/>
        <scheme val="minor"/>
      </rPr>
      <t>#FEF2F2</t>
    </r>
    <r>
      <rPr>
        <sz val="11"/>
        <color theme="1"/>
        <rFont val="Calibri"/>
        <family val="2"/>
        <scheme val="minor"/>
      </rPr>
      <t xml:space="preserve"> (</t>
    </r>
    <r>
      <rPr>
        <b/>
        <sz val="11"/>
        <color theme="1"/>
        <rFont val="Calibri"/>
        <family val="2"/>
        <scheme val="minor"/>
      </rPr>
      <t>bg-red-50</t>
    </r>
    <r>
      <rPr>
        <sz val="11"/>
        <color theme="1"/>
        <rFont val="Calibri"/>
        <family val="2"/>
        <scheme val="minor"/>
      </rPr>
      <t xml:space="preserve">), and date text color </t>
    </r>
    <r>
      <rPr>
        <b/>
        <sz val="11"/>
        <color theme="1"/>
        <rFont val="Calibri"/>
        <family val="2"/>
        <scheme val="minor"/>
      </rPr>
      <t>#DC2626</t>
    </r>
    <r>
      <rPr>
        <sz val="11"/>
        <color theme="1"/>
        <rFont val="Calibri"/>
        <family val="2"/>
        <scheme val="minor"/>
      </rPr>
      <t xml:space="preserve"> (</t>
    </r>
    <r>
      <rPr>
        <b/>
        <sz val="11"/>
        <color theme="1"/>
        <rFont val="Calibri"/>
        <family val="2"/>
        <scheme val="minor"/>
      </rPr>
      <t>text-red-600</t>
    </r>
    <r>
      <rPr>
        <sz val="11"/>
        <color theme="1"/>
        <rFont val="Calibri"/>
        <family val="2"/>
        <scheme val="minor"/>
      </rPr>
      <t xml:space="preserve">).
b. Render a distinct text badge in the top right: </t>
    </r>
    <r>
      <rPr>
        <b/>
        <sz val="11"/>
        <color theme="1"/>
        <rFont val="Calibri"/>
        <family val="2"/>
        <scheme val="minor"/>
      </rPr>
      <t>"OVERDUE"</t>
    </r>
    <r>
      <rPr>
        <sz val="11"/>
        <color theme="1"/>
        <rFont val="Calibri"/>
        <family val="2"/>
        <scheme val="minor"/>
      </rPr>
      <t xml:space="preserve"> in bold uppercase font with red background </t>
    </r>
    <r>
      <rPr>
        <b/>
        <sz val="11"/>
        <color theme="1"/>
        <rFont val="Calibri"/>
        <family val="2"/>
        <scheme val="minor"/>
      </rPr>
      <t>#FEE2E2 (bg-red-100 px-2 py-0.5 rounded text-red-700 font-pbold</t>
    </r>
    <r>
      <rPr>
        <sz val="11"/>
        <color theme="1"/>
        <rFont val="Calibri"/>
        <family val="2"/>
        <scheme val="minor"/>
      </rPr>
      <t xml:space="preserve">).
- For normal items, use standard neutral </t>
    </r>
    <r>
      <rPr>
        <b/>
        <sz val="11"/>
        <color theme="1"/>
        <rFont val="Calibri"/>
        <family val="2"/>
        <scheme val="minor"/>
      </rPr>
      <t>styling (bg-white border-gray-100</t>
    </r>
    <r>
      <rPr>
        <sz val="11"/>
        <color theme="1"/>
        <rFont val="Calibri"/>
        <family val="2"/>
        <scheme val="minor"/>
      </rPr>
      <t xml:space="preserve">).
5. </t>
    </r>
    <r>
      <rPr>
        <b/>
        <sz val="11"/>
        <color theme="1"/>
        <rFont val="Calibri"/>
        <family val="2"/>
        <scheme val="minor"/>
      </rPr>
      <t>Tap Handler</t>
    </r>
    <r>
      <rPr>
        <sz val="11"/>
        <color theme="1"/>
        <rFont val="Calibri"/>
        <family val="2"/>
        <scheme val="minor"/>
      </rPr>
      <t xml:space="preserve">: Trigger </t>
    </r>
    <r>
      <rPr>
        <b/>
        <sz val="11"/>
        <color theme="1"/>
        <rFont val="Calibri"/>
        <family val="2"/>
        <scheme val="minor"/>
      </rPr>
      <t>onPress(item)</t>
    </r>
    <r>
      <rPr>
        <sz val="11"/>
        <color theme="1"/>
        <rFont val="Calibri"/>
        <family val="2"/>
        <scheme val="minor"/>
      </rPr>
      <t xml:space="preserve"> when pressed (to open decision modal in FE-1.6).</t>
    </r>
  </si>
  <si>
    <r>
      <rPr>
        <b/>
        <sz val="11"/>
        <color theme="1"/>
        <rFont val="Calibri"/>
        <family val="2"/>
        <scheme val="minor"/>
      </rPr>
      <t>Build Your Health Overview Screen &amp; Segmented Top Tabs Layout &amp; Dynamic Count Badges</t>
    </r>
    <r>
      <rPr>
        <sz val="11"/>
        <color theme="1"/>
        <rFont val="Calibri"/>
        <family val="2"/>
        <scheme val="minor"/>
      </rPr>
      <t xml:space="preserve">
1. Create </t>
    </r>
    <r>
      <rPr>
        <b/>
        <sz val="11"/>
        <color theme="1"/>
        <rFont val="Calibri"/>
        <family val="2"/>
        <scheme val="minor"/>
      </rPr>
      <t>checkupp-mobile/app/health-overview/index.tsx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scheme val="minor"/>
      </rPr>
      <t>checkupp-mobile/components/screening/OverviewTopTabs.tsx</t>
    </r>
    <r>
      <rPr>
        <sz val="11"/>
        <color theme="1"/>
        <rFont val="Calibri"/>
        <family val="2"/>
        <scheme val="minor"/>
      </rPr>
      <t xml:space="preserve">
2. Top Segmented Control (</t>
    </r>
    <r>
      <rPr>
        <b/>
        <sz val="11"/>
        <color theme="1"/>
        <rFont val="Calibri"/>
        <family val="2"/>
        <scheme val="minor"/>
      </rPr>
      <t>OverviewTopTabs.tsx</t>
    </r>
    <r>
      <rPr>
        <sz val="11"/>
        <color theme="1"/>
        <rFont val="Calibri"/>
        <family val="2"/>
        <scheme val="minor"/>
      </rPr>
      <t xml:space="preserve">):
- Build a pill-shaped segmented control with three horizontal tabs: </t>
    </r>
    <r>
      <rPr>
        <b/>
        <sz val="11"/>
        <color theme="1"/>
        <rFont val="Calibri"/>
        <family val="2"/>
        <scheme val="minor"/>
      </rPr>
      <t>Upcoming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Due</t>
    </r>
    <r>
      <rPr>
        <sz val="11"/>
        <color theme="1"/>
        <rFont val="Calibri"/>
        <family val="2"/>
        <scheme val="minor"/>
      </rPr>
      <t xml:space="preserve">, and </t>
    </r>
    <r>
      <rPr>
        <b/>
        <sz val="11"/>
        <color theme="1"/>
        <rFont val="Calibri"/>
        <family val="2"/>
        <scheme val="minor"/>
      </rPr>
      <t>Completed</t>
    </r>
    <r>
      <rPr>
        <sz val="11"/>
        <color theme="1"/>
        <rFont val="Calibri"/>
        <family val="2"/>
        <scheme val="minor"/>
      </rPr>
      <t xml:space="preserve">.
- Accept props: </t>
    </r>
    <r>
      <rPr>
        <b/>
        <sz val="11"/>
        <color theme="1"/>
        <rFont val="Calibri"/>
        <family val="2"/>
        <scheme val="minor"/>
      </rPr>
      <t>activeTab: 'upcoming' | 'due' | 'completed'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counts: { upcoming: number; due: number; completed: number }</t>
    </r>
    <r>
      <rPr>
        <sz val="11"/>
        <color theme="1"/>
        <rFont val="Calibri"/>
        <family val="2"/>
        <scheme val="minor"/>
      </rPr>
      <t xml:space="preserve">, and </t>
    </r>
    <r>
      <rPr>
        <b/>
        <sz val="11"/>
        <color theme="1"/>
        <rFont val="Calibri"/>
        <family val="2"/>
        <scheme val="minor"/>
      </rPr>
      <t>onTabChange: (tab) =&gt; void</t>
    </r>
    <r>
      <rPr>
        <sz val="11"/>
        <color theme="1"/>
        <rFont val="Calibri"/>
        <family val="2"/>
        <scheme val="minor"/>
      </rPr>
      <t xml:space="preserve">.
- Render each tab label dynamically appending the count in parentheses:
a. </t>
    </r>
    <r>
      <rPr>
        <b/>
        <sz val="11"/>
        <color theme="1"/>
        <rFont val="Calibri"/>
        <family val="2"/>
        <scheme val="minor"/>
      </rPr>
      <t>Upcoming (${counts.upcoming})</t>
    </r>
    <r>
      <rPr>
        <sz val="11"/>
        <color theme="1"/>
        <rFont val="Calibri"/>
        <family val="2"/>
        <scheme val="minor"/>
      </rPr>
      <t xml:space="preserve">
b. </t>
    </r>
    <r>
      <rPr>
        <b/>
        <sz val="11"/>
        <color theme="1"/>
        <rFont val="Calibri"/>
        <family val="2"/>
        <scheme val="minor"/>
      </rPr>
      <t>Due (${counts.due})</t>
    </r>
    <r>
      <rPr>
        <sz val="11"/>
        <color theme="1"/>
        <rFont val="Calibri"/>
        <family val="2"/>
        <scheme val="minor"/>
      </rPr>
      <t xml:space="preserve">
c. </t>
    </r>
    <r>
      <rPr>
        <b/>
        <sz val="11"/>
        <color theme="1"/>
        <rFont val="Calibri"/>
        <family val="2"/>
        <scheme val="minor"/>
      </rPr>
      <t>Completed (${counts.completed})</t>
    </r>
    <r>
      <rPr>
        <sz val="11"/>
        <color theme="1"/>
        <rFont val="Calibri"/>
        <family val="2"/>
        <scheme val="minor"/>
      </rPr>
      <t xml:space="preserve">
- Active tab state renders with primary cyan accent </t>
    </r>
    <r>
      <rPr>
        <b/>
        <sz val="11"/>
        <color theme="1"/>
        <rFont val="Calibri"/>
        <family val="2"/>
        <scheme val="minor"/>
      </rPr>
      <t>(bg-[#00CED1] text-white font-psemibold</t>
    </r>
    <r>
      <rPr>
        <sz val="11"/>
        <color theme="1"/>
        <rFont val="Calibri"/>
        <family val="2"/>
        <scheme val="minor"/>
      </rPr>
      <t>), while inactive tabs render in neutral gray (</t>
    </r>
    <r>
      <rPr>
        <b/>
        <sz val="11"/>
        <color theme="1"/>
        <rFont val="Calibri"/>
        <family val="2"/>
        <scheme val="minor"/>
      </rPr>
      <t>bg-gray-100 text-gray-600</t>
    </r>
    <r>
      <rPr>
        <sz val="11"/>
        <color theme="1"/>
        <rFont val="Calibri"/>
        <family val="2"/>
        <scheme val="minor"/>
      </rPr>
      <t>).
3. Screen Scaffold (</t>
    </r>
    <r>
      <rPr>
        <b/>
        <sz val="11"/>
        <color theme="1"/>
        <rFont val="Calibri"/>
        <family val="2"/>
        <scheme val="minor"/>
      </rPr>
      <t>checkupp-mobile/app/health-overview/index.tsx</t>
    </r>
    <r>
      <rPr>
        <sz val="11"/>
        <color theme="1"/>
        <rFont val="Calibri"/>
        <family val="2"/>
        <scheme val="minor"/>
      </rPr>
      <t xml:space="preserve">):
- Use </t>
    </r>
    <r>
      <rPr>
        <b/>
        <sz val="11"/>
        <color theme="1"/>
        <rFont val="Calibri"/>
        <family val="2"/>
        <scheme val="minor"/>
      </rPr>
      <t>SafeAreaView</t>
    </r>
    <r>
      <rPr>
        <sz val="11"/>
        <color theme="1"/>
        <rFont val="Calibri"/>
        <family val="2"/>
        <scheme val="minor"/>
      </rPr>
      <t xml:space="preserve"> from </t>
    </r>
    <r>
      <rPr>
        <b/>
        <sz val="11"/>
        <color theme="1"/>
        <rFont val="Calibri"/>
        <family val="2"/>
        <scheme val="minor"/>
      </rPr>
      <t>react-native-safe-area-context</t>
    </r>
    <r>
      <rPr>
        <sz val="11"/>
        <color theme="1"/>
        <rFont val="Calibri"/>
        <family val="2"/>
        <scheme val="minor"/>
      </rPr>
      <t>.
- Implement a navigation header with a Back button (</t>
    </r>
    <r>
      <rPr>
        <b/>
        <sz val="11"/>
        <color theme="1"/>
        <rFont val="Calibri"/>
        <family val="2"/>
        <scheme val="minor"/>
      </rPr>
      <t>router.back()</t>
    </r>
    <r>
      <rPr>
        <sz val="11"/>
        <color theme="1"/>
        <rFont val="Calibri"/>
        <family val="2"/>
        <scheme val="minor"/>
      </rPr>
      <t>) and Title "</t>
    </r>
    <r>
      <rPr>
        <b/>
        <sz val="11"/>
        <color theme="1"/>
        <rFont val="Calibri"/>
        <family val="2"/>
        <scheme val="minor"/>
      </rPr>
      <t>Your Health Overview</t>
    </r>
    <r>
      <rPr>
        <sz val="11"/>
        <color theme="1"/>
        <rFont val="Calibri"/>
        <family val="2"/>
        <scheme val="minor"/>
      </rPr>
      <t xml:space="preserve">".
- Initialize state </t>
    </r>
    <r>
      <rPr>
        <b/>
        <sz val="11"/>
        <color theme="1"/>
        <rFont val="Calibri"/>
        <family val="2"/>
        <scheme val="minor"/>
      </rPr>
      <t>[activeTab, setActiveTab] = useState&lt;'upcoming' | 'due' | 'completed'&gt;('upcoming')</t>
    </r>
    <r>
      <rPr>
        <sz val="11"/>
        <color theme="1"/>
        <rFont val="Calibri"/>
        <family val="2"/>
        <scheme val="minor"/>
      </rPr>
      <t xml:space="preserve"> so that the "</t>
    </r>
    <r>
      <rPr>
        <b/>
        <sz val="11"/>
        <color theme="1"/>
        <rFont val="Calibri"/>
        <family val="2"/>
        <scheme val="minor"/>
      </rPr>
      <t>Upcoming</t>
    </r>
    <r>
      <rPr>
        <sz val="11"/>
        <color theme="1"/>
        <rFont val="Calibri"/>
        <family val="2"/>
        <scheme val="minor"/>
      </rPr>
      <t>" tab is active by default upon landing.</t>
    </r>
  </si>
  <si>
    <t>1.2, 1.3, 1.4, 1.8</t>
  </si>
  <si>
    <r>
      <rPr>
        <b/>
        <sz val="11"/>
        <color theme="1"/>
        <rFont val="Calibri"/>
        <family val="2"/>
        <scheme val="minor"/>
      </rPr>
      <t>Implement Tab FlatList Views, Pull-to-Refresh, Skeleton Loaders &amp; Strict Empty States</t>
    </r>
    <r>
      <rPr>
        <sz val="11"/>
        <color theme="1"/>
        <rFont val="Calibri"/>
        <family val="2"/>
        <scheme val="minor"/>
      </rPr>
      <t xml:space="preserve">
1. Create </t>
    </r>
    <r>
      <rPr>
        <b/>
        <sz val="11"/>
        <color theme="1"/>
        <rFont val="Calibri"/>
        <family val="2"/>
        <scheme val="minor"/>
      </rPr>
      <t>checkupp-mobile/components/screening/OverviewSkeletonLoader.tsx</t>
    </r>
    <r>
      <rPr>
        <sz val="11"/>
        <color theme="1"/>
        <rFont val="Calibri"/>
        <family val="2"/>
        <scheme val="minor"/>
      </rPr>
      <t xml:space="preserve"> and Modify </t>
    </r>
    <r>
      <rPr>
        <b/>
        <sz val="11"/>
        <color theme="1"/>
        <rFont val="Calibri"/>
        <family val="2"/>
        <scheme val="minor"/>
      </rPr>
      <t>checkupp-mobile/app/health-overview/index.tsx</t>
    </r>
    <r>
      <rPr>
        <sz val="11"/>
        <color theme="1"/>
        <rFont val="Calibri"/>
        <family val="2"/>
        <scheme val="minor"/>
      </rPr>
      <t xml:space="preserve">
2. </t>
    </r>
    <r>
      <rPr>
        <b/>
        <sz val="11"/>
        <color theme="1"/>
        <rFont val="Calibri"/>
        <family val="2"/>
        <scheme val="minor"/>
      </rPr>
      <t>Skeleton Loaders</t>
    </r>
    <r>
      <rPr>
        <sz val="11"/>
        <color theme="1"/>
        <rFont val="Calibri"/>
        <family val="2"/>
        <scheme val="minor"/>
      </rPr>
      <t xml:space="preserve"> (US 1.8 AC 2): Build </t>
    </r>
    <r>
      <rPr>
        <b/>
        <sz val="11"/>
        <color theme="1"/>
        <rFont val="Calibri"/>
        <family val="2"/>
        <scheme val="minor"/>
      </rPr>
      <t>OverviewSkeletonLoader.tsx</t>
    </r>
    <r>
      <rPr>
        <sz val="11"/>
        <color theme="1"/>
        <rFont val="Calibri"/>
        <family val="2"/>
        <scheme val="minor"/>
      </rPr>
      <t xml:space="preserve"> displaying 3 animated gray placeholder cards (bg-gray-200 animate-pulse h-20 rounded-xl mb-3) when </t>
    </r>
    <r>
      <rPr>
        <b/>
        <sz val="11"/>
        <color theme="1"/>
        <rFont val="Calibri"/>
        <family val="2"/>
        <scheme val="minor"/>
      </rPr>
      <t>isLoading === true</t>
    </r>
    <r>
      <rPr>
        <sz val="11"/>
        <color theme="1"/>
        <rFont val="Calibri"/>
        <family val="2"/>
        <scheme val="minor"/>
      </rPr>
      <t xml:space="preserve">.
3. Pull-to-Refresh &amp; Offline Cache Behavior (US 1.8 AC 1, 3): 
- Attach </t>
    </r>
    <r>
      <rPr>
        <b/>
        <sz val="11"/>
        <color theme="1"/>
        <rFont val="Calibri"/>
        <family val="2"/>
        <scheme val="minor"/>
      </rPr>
      <t>RefreshControl</t>
    </r>
    <r>
      <rPr>
        <sz val="11"/>
        <color theme="1"/>
        <rFont val="Calibri"/>
        <family val="2"/>
        <scheme val="minor"/>
      </rPr>
      <t xml:space="preserve"> to </t>
    </r>
    <r>
      <rPr>
        <b/>
        <sz val="11"/>
        <color theme="1"/>
        <rFont val="Calibri"/>
        <family val="2"/>
        <scheme val="minor"/>
      </rPr>
      <t>FlatList</t>
    </r>
    <r>
      <rPr>
        <sz val="11"/>
        <color theme="1"/>
        <rFont val="Calibri"/>
        <family val="2"/>
        <scheme val="minor"/>
      </rPr>
      <t xml:space="preserve">:
TypeScript&lt;RefreshControl
  refreshing={isRefetching}
  onRefresh={handleRefresh}
  tintColor="#00CED1"
/&gt;
- In </t>
    </r>
    <r>
      <rPr>
        <b/>
        <sz val="11"/>
        <color theme="1"/>
        <rFont val="Calibri"/>
        <family val="2"/>
        <scheme val="minor"/>
      </rPr>
      <t>handleRefresh</t>
    </r>
    <r>
      <rPr>
        <sz val="11"/>
        <color theme="1"/>
        <rFont val="Calibri"/>
        <family val="2"/>
        <scheme val="minor"/>
      </rPr>
      <t>:
- Trigger refetch().
- If offline (!netInfo.isConnected), ensure spinner dismisses within 3 seconds (setTimeout(() =&gt; setIsRefetching(false), 3000)) and trigger snackbar/toast: Exact string required: "</t>
    </r>
    <r>
      <rPr>
        <b/>
        <sz val="11"/>
        <color theme="1"/>
        <rFont val="Calibri"/>
        <family val="2"/>
        <scheme val="minor"/>
      </rPr>
      <t>No internet connection. Showing your last saved schedule.</t>
    </r>
    <r>
      <rPr>
        <sz val="11"/>
        <color theme="1"/>
        <rFont val="Calibri"/>
        <family val="2"/>
        <scheme val="minor"/>
      </rPr>
      <t xml:space="preserve">"
- Keep previously cached cards visible on screen without disruption.
4. </t>
    </r>
    <r>
      <rPr>
        <b/>
        <sz val="11"/>
        <color theme="1"/>
        <rFont val="Calibri"/>
        <family val="2"/>
        <scheme val="minor"/>
      </rPr>
      <t>Strict Empty States</t>
    </r>
    <r>
      <rPr>
        <sz val="11"/>
        <color theme="1"/>
        <rFont val="Calibri"/>
        <family val="2"/>
        <scheme val="minor"/>
      </rPr>
      <t xml:space="preserve"> (US 1.2–1.4 AC):
- When </t>
    </r>
    <r>
      <rPr>
        <b/>
        <sz val="11"/>
        <color theme="1"/>
        <rFont val="Calibri"/>
        <family val="2"/>
        <scheme val="minor"/>
      </rPr>
      <t>data[activeTab].length === 0</t>
    </r>
    <r>
      <rPr>
        <sz val="11"/>
        <color theme="1"/>
        <rFont val="Calibri"/>
        <family val="2"/>
        <scheme val="minor"/>
      </rPr>
      <t xml:space="preserve"> and not loading, render </t>
    </r>
    <r>
      <rPr>
        <b/>
        <sz val="11"/>
        <color theme="1"/>
        <rFont val="Calibri"/>
        <family val="2"/>
        <scheme val="minor"/>
      </rPr>
      <t>EmptyState</t>
    </r>
    <r>
      <rPr>
        <sz val="11"/>
        <color theme="1"/>
        <rFont val="Calibri"/>
        <family val="2"/>
        <scheme val="minor"/>
      </rPr>
      <t xml:space="preserve">:
a. </t>
    </r>
    <r>
      <rPr>
        <b/>
        <sz val="11"/>
        <color theme="1"/>
        <rFont val="Calibri"/>
        <family val="2"/>
        <scheme val="minor"/>
      </rPr>
      <t>activeTab === 'upcoming'</t>
    </r>
    <r>
      <rPr>
        <sz val="11"/>
        <color theme="1"/>
        <rFont val="Calibri"/>
        <family val="2"/>
        <scheme val="minor"/>
      </rPr>
      <t xml:space="preserve"> -&gt; "</t>
    </r>
    <r>
      <rPr>
        <b/>
        <sz val="11"/>
        <color theme="1"/>
        <rFont val="Calibri"/>
        <family val="2"/>
        <scheme val="minor"/>
      </rPr>
      <t>You don't have any upcoming screenings.</t>
    </r>
    <r>
      <rPr>
        <sz val="11"/>
        <color theme="1"/>
        <rFont val="Calibri"/>
        <family val="2"/>
        <scheme val="minor"/>
      </rPr>
      <t xml:space="preserve">"
b. </t>
    </r>
    <r>
      <rPr>
        <b/>
        <sz val="11"/>
        <color theme="1"/>
        <rFont val="Calibri"/>
        <family val="2"/>
        <scheme val="minor"/>
      </rPr>
      <t>activeTab === 'due</t>
    </r>
    <r>
      <rPr>
        <sz val="11"/>
        <color theme="1"/>
        <rFont val="Calibri"/>
        <family val="2"/>
        <scheme val="minor"/>
      </rPr>
      <t>' -&gt; "</t>
    </r>
    <r>
      <rPr>
        <b/>
        <sz val="11"/>
        <color theme="1"/>
        <rFont val="Calibri"/>
        <family val="2"/>
        <scheme val="minor"/>
      </rPr>
      <t>You don't have any due screenings.</t>
    </r>
    <r>
      <rPr>
        <sz val="11"/>
        <color theme="1"/>
        <rFont val="Calibri"/>
        <family val="2"/>
        <scheme val="minor"/>
      </rPr>
      <t xml:space="preserve">"
c. </t>
    </r>
    <r>
      <rPr>
        <b/>
        <sz val="11"/>
        <color theme="1"/>
        <rFont val="Calibri"/>
        <family val="2"/>
        <scheme val="minor"/>
      </rPr>
      <t>activeTab === 'completed'</t>
    </r>
    <r>
      <rPr>
        <sz val="11"/>
        <color theme="1"/>
        <rFont val="Calibri"/>
        <family val="2"/>
        <scheme val="minor"/>
      </rPr>
      <t xml:space="preserve"> -&gt; "</t>
    </r>
    <r>
      <rPr>
        <b/>
        <sz val="11"/>
        <color theme="1"/>
        <rFont val="Calibri"/>
        <family val="2"/>
        <scheme val="minor"/>
      </rPr>
      <t>You don't have any completed screenings.</t>
    </r>
    <r>
      <rPr>
        <sz val="11"/>
        <color theme="1"/>
        <rFont val="Calibri"/>
        <family val="2"/>
        <scheme val="minor"/>
      </rPr>
      <t>"</t>
    </r>
  </si>
  <si>
    <t>1.5, 1.6</t>
  </si>
  <si>
    <r>
      <rPr>
        <b/>
        <sz val="11"/>
        <color theme="1"/>
        <rFont val="Calibri"/>
        <family val="2"/>
        <scheme val="minor"/>
      </rPr>
      <t>Integrate "Have you had this screening?" Decision Modal &amp; Routing to Existing Forms/Booking Modal</t>
    </r>
    <r>
      <rPr>
        <sz val="11"/>
        <color theme="1"/>
        <rFont val="Calibri"/>
        <family val="2"/>
        <scheme val="minor"/>
      </rPr>
      <t xml:space="preserve">
1. Create </t>
    </r>
    <r>
      <rPr>
        <b/>
        <sz val="11"/>
        <color theme="1"/>
        <rFont val="Calibri"/>
        <family val="2"/>
        <scheme val="minor"/>
      </rPr>
      <t>checkupp-mobile/components/screening/ScreeningDecisionModal.tsx and checkupp-mobile/app/health-overview/index.tsx</t>
    </r>
    <r>
      <rPr>
        <sz val="11"/>
        <color theme="1"/>
        <rFont val="Calibri"/>
        <family val="2"/>
        <scheme val="minor"/>
      </rPr>
      <t xml:space="preserve">
2. </t>
    </r>
    <r>
      <rPr>
        <b/>
        <sz val="11"/>
        <color theme="1"/>
        <rFont val="Calibri"/>
        <family val="2"/>
        <scheme val="minor"/>
      </rPr>
      <t>Build Decision Modal</t>
    </r>
    <r>
      <rPr>
        <sz val="11"/>
        <color theme="1"/>
        <rFont val="Calibri"/>
        <family val="2"/>
        <scheme val="minor"/>
      </rPr>
      <t xml:space="preserve"> (ScreeningDecisionModal.tsx):
- Extend </t>
    </r>
    <r>
      <rPr>
        <b/>
        <sz val="11"/>
        <color theme="1"/>
        <rFont val="Calibri"/>
        <family val="2"/>
        <scheme val="minor"/>
      </rPr>
      <t>BaseModal.tsx</t>
    </r>
    <r>
      <rPr>
        <sz val="11"/>
        <color theme="1"/>
        <rFont val="Calibri"/>
        <family val="2"/>
        <scheme val="minor"/>
      </rPr>
      <t xml:space="preserve"> (</t>
    </r>
    <r>
      <rPr>
        <b/>
        <sz val="11"/>
        <color theme="1"/>
        <rFont val="Calibri"/>
        <family val="2"/>
        <scheme val="minor"/>
      </rPr>
      <t>checkupp-mobile/components/screening/shared/modals/BaseModal.tsx</t>
    </r>
    <r>
      <rPr>
        <sz val="11"/>
        <color theme="1"/>
        <rFont val="Calibri"/>
        <family val="2"/>
        <scheme val="minor"/>
      </rPr>
      <t xml:space="preserve">).
- Props: </t>
    </r>
    <r>
      <rPr>
        <b/>
        <sz val="11"/>
        <color theme="1"/>
        <rFont val="Calibri"/>
        <family val="2"/>
        <scheme val="minor"/>
      </rPr>
      <t>visible: boolean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item: ScreeningOverviewItem | null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onClose: () =&gt; void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onSelectYes: () =&gt; void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onSelectNo: () =&gt; void.</t>
    </r>
    <r>
      <rPr>
        <sz val="11"/>
        <color theme="1"/>
        <rFont val="Calibri"/>
        <family val="2"/>
        <scheme val="minor"/>
      </rPr>
      <t xml:space="preserve">
- Display the screening name (</t>
    </r>
    <r>
      <rPr>
        <b/>
        <sz val="11"/>
        <color theme="1"/>
        <rFont val="Calibri"/>
        <family val="2"/>
        <scheme val="minor"/>
      </rPr>
      <t>item?.name</t>
    </r>
    <r>
      <rPr>
        <sz val="11"/>
        <color theme="1"/>
        <rFont val="Calibri"/>
        <family val="2"/>
        <scheme val="minor"/>
      </rPr>
      <t>) as header subtitle.
- Render prompt string exactly: "</t>
    </r>
    <r>
      <rPr>
        <b/>
        <sz val="11"/>
        <color theme="1"/>
        <rFont val="Calibri"/>
        <family val="2"/>
        <scheme val="minor"/>
      </rPr>
      <t>Have you had this screening?</t>
    </r>
    <r>
      <rPr>
        <sz val="11"/>
        <color theme="1"/>
        <rFont val="Calibri"/>
        <family val="2"/>
        <scheme val="minor"/>
      </rPr>
      <t>" (US 1.5 AC 2).
- Render two accessible CTA buttons: "</t>
    </r>
    <r>
      <rPr>
        <b/>
        <sz val="11"/>
        <color theme="1"/>
        <rFont val="Calibri"/>
        <family val="2"/>
        <scheme val="minor"/>
      </rPr>
      <t>Yes</t>
    </r>
    <r>
      <rPr>
        <sz val="11"/>
        <color theme="1"/>
        <rFont val="Calibri"/>
        <family val="2"/>
        <scheme val="minor"/>
      </rPr>
      <t>" (Primary #00CED1) and "</t>
    </r>
    <r>
      <rPr>
        <b/>
        <sz val="11"/>
        <color theme="1"/>
        <rFont val="Calibri"/>
        <family val="2"/>
        <scheme val="minor"/>
      </rPr>
      <t>No</t>
    </r>
    <r>
      <rPr>
        <sz val="11"/>
        <color theme="1"/>
        <rFont val="Calibri"/>
        <family val="2"/>
        <scheme val="minor"/>
      </rPr>
      <t xml:space="preserve">" (Secondary outline).
3. </t>
    </r>
    <r>
      <rPr>
        <b/>
        <sz val="11"/>
        <color theme="1"/>
        <rFont val="Calibri"/>
        <family val="2"/>
        <scheme val="minor"/>
      </rPr>
      <t>Connect Routing &amp; Actions</t>
    </r>
    <r>
      <rPr>
        <sz val="11"/>
        <color theme="1"/>
        <rFont val="Calibri"/>
        <family val="2"/>
        <scheme val="minor"/>
      </rPr>
      <t xml:space="preserve">:
- In </t>
    </r>
    <r>
      <rPr>
        <b/>
        <sz val="11"/>
        <color theme="1"/>
        <rFont val="Calibri"/>
        <family val="2"/>
        <scheme val="minor"/>
      </rPr>
      <t>checkupp-mobile/app/health-overview/index.tsx</t>
    </r>
    <r>
      <rPr>
        <sz val="11"/>
        <color theme="1"/>
        <rFont val="Calibri"/>
        <family val="2"/>
        <scheme val="minor"/>
      </rPr>
      <t xml:space="preserve">, when a card is pressed, set </t>
    </r>
    <r>
      <rPr>
        <b/>
        <sz val="11"/>
        <color theme="1"/>
        <rFont val="Calibri"/>
        <family val="2"/>
        <scheme val="minor"/>
      </rPr>
      <t>selectedItem</t>
    </r>
    <r>
      <rPr>
        <sz val="11"/>
        <color theme="1"/>
        <rFont val="Calibri"/>
        <family val="2"/>
        <scheme val="minor"/>
      </rPr>
      <t xml:space="preserve"> and open </t>
    </r>
    <r>
      <rPr>
        <b/>
        <sz val="11"/>
        <color theme="1"/>
        <rFont val="Calibri"/>
        <family val="2"/>
        <scheme val="minor"/>
      </rPr>
      <t>ScreeningDecisionModal</t>
    </r>
    <r>
      <rPr>
        <sz val="11"/>
        <color theme="1"/>
        <rFont val="Calibri"/>
        <family val="2"/>
        <scheme val="minor"/>
      </rPr>
      <t>.
- On "</t>
    </r>
    <r>
      <rPr>
        <b/>
        <sz val="11"/>
        <color theme="1"/>
        <rFont val="Calibri"/>
        <family val="2"/>
        <scheme val="minor"/>
      </rPr>
      <t>Yes</t>
    </r>
    <r>
      <rPr>
        <sz val="11"/>
        <color theme="1"/>
        <rFont val="Calibri"/>
        <family val="2"/>
        <scheme val="minor"/>
      </rPr>
      <t xml:space="preserve">" tap (US 1.5 AC 4):
a. Dismiss modal and route to the existing data entry form: </t>
    </r>
    <r>
      <rPr>
        <b/>
        <sz val="11"/>
        <color theme="1"/>
        <rFont val="Calibri"/>
        <family val="2"/>
        <scheme val="minor"/>
      </rPr>
      <t>router.push({ pathname: '/(tabs)/health-screening', params: { openFormFor: selectedItem.id, type: selectedItem.screeningType } })</t>
    </r>
    <r>
      <rPr>
        <sz val="11"/>
        <color theme="1"/>
        <rFont val="Calibri"/>
        <family val="2"/>
        <scheme val="minor"/>
      </rPr>
      <t>.
b. Upon successful form submission, TanStack Query invalidation (</t>
    </r>
    <r>
      <rPr>
        <b/>
        <sz val="11"/>
        <color theme="1"/>
        <rFont val="Calibri"/>
        <family val="2"/>
        <scheme val="minor"/>
      </rPr>
      <t>queryClient.invalidateQueries({ queryKey: ['screenings', 'overview'] })</t>
    </r>
    <r>
      <rPr>
        <sz val="11"/>
        <color theme="1"/>
        <rFont val="Calibri"/>
        <family val="2"/>
        <scheme val="minor"/>
      </rPr>
      <t xml:space="preserve">) ensures the card immediately transitions to </t>
    </r>
    <r>
      <rPr>
        <b/>
        <sz val="11"/>
        <color theme="1"/>
        <rFont val="Calibri"/>
        <family val="2"/>
        <scheme val="minor"/>
      </rPr>
      <t>Completed</t>
    </r>
    <r>
      <rPr>
        <sz val="11"/>
        <color theme="1"/>
        <rFont val="Calibri"/>
        <family val="2"/>
        <scheme val="minor"/>
      </rPr>
      <t xml:space="preserve"> and tab count badges update (US 1.6).
- On "</t>
    </r>
    <r>
      <rPr>
        <b/>
        <sz val="11"/>
        <color theme="1"/>
        <rFont val="Calibri"/>
        <family val="2"/>
        <scheme val="minor"/>
      </rPr>
      <t>No</t>
    </r>
    <r>
      <rPr>
        <sz val="11"/>
        <color theme="1"/>
        <rFont val="Calibri"/>
        <family val="2"/>
        <scheme val="minor"/>
      </rPr>
      <t>" tap (US 1.5 AC 5):
Dismiss modal and open the existing appointment booking modal (</t>
    </r>
    <r>
      <rPr>
        <b/>
        <sz val="11"/>
        <color theme="1"/>
        <rFont val="Calibri"/>
        <family val="2"/>
        <scheme val="minor"/>
      </rPr>
      <t>bookingFlow.ts</t>
    </r>
    <r>
      <rPr>
        <sz val="11"/>
        <color theme="1"/>
        <rFont val="Calibri"/>
        <family val="2"/>
        <scheme val="minor"/>
      </rPr>
      <t xml:space="preserve"> / appointment booking modal component).</t>
    </r>
  </si>
  <si>
    <r>
      <rPr>
        <b/>
        <sz val="11"/>
        <color theme="1"/>
        <rFont val="Calibri"/>
        <family val="2"/>
        <scheme val="minor"/>
      </rPr>
      <t>Implement Offline Cold-Start Empty State Card &amp; Retryable Error Banner Handlers</t>
    </r>
    <r>
      <rPr>
        <sz val="11"/>
        <color theme="1"/>
        <rFont val="Calibri"/>
        <family val="2"/>
        <scheme val="minor"/>
      </rPr>
      <t xml:space="preserve">
1. Create </t>
    </r>
    <r>
      <rPr>
        <b/>
        <sz val="11"/>
        <color theme="1"/>
        <rFont val="Calibri"/>
        <family val="2"/>
        <scheme val="minor"/>
      </rPr>
      <t>checkupp-mobile/components/screening/OverviewOfflineState.tsx</t>
    </r>
    <r>
      <rPr>
        <sz val="11"/>
        <color theme="1"/>
        <rFont val="Calibri"/>
        <family val="2"/>
        <scheme val="minor"/>
      </rPr>
      <t xml:space="preserve">, create </t>
    </r>
    <r>
      <rPr>
        <b/>
        <sz val="11"/>
        <color theme="1"/>
        <rFont val="Calibri"/>
        <family val="2"/>
        <scheme val="minor"/>
      </rPr>
      <t>checkupp-mobile/components/screening/OverviewErrorBanner.tsx</t>
    </r>
    <r>
      <rPr>
        <sz val="11"/>
        <color theme="1"/>
        <rFont val="Calibri"/>
        <family val="2"/>
        <scheme val="minor"/>
      </rPr>
      <t xml:space="preserve"> and Modify </t>
    </r>
    <r>
      <rPr>
        <b/>
        <sz val="11"/>
        <color theme="1"/>
        <rFont val="Calibri"/>
        <family val="2"/>
        <scheme val="minor"/>
      </rPr>
      <t>checkupp-mobile/app/health-overview/index.tsx</t>
    </r>
    <r>
      <rPr>
        <sz val="11"/>
        <color theme="1"/>
        <rFont val="Calibri"/>
        <family val="2"/>
        <scheme val="minor"/>
      </rPr>
      <t xml:space="preserve">
2. </t>
    </r>
    <r>
      <rPr>
        <b/>
        <sz val="11"/>
        <color theme="1"/>
        <rFont val="Calibri"/>
        <family val="2"/>
        <scheme val="minor"/>
      </rPr>
      <t>Offline Cold Start Component</t>
    </r>
    <r>
      <rPr>
        <sz val="11"/>
        <color theme="1"/>
        <rFont val="Calibri"/>
        <family val="2"/>
        <scheme val="minor"/>
      </rPr>
      <t xml:space="preserve"> (OverviewOfflineState.tsx):
- When </t>
    </r>
    <r>
      <rPr>
        <b/>
        <sz val="11"/>
        <color theme="1"/>
        <rFont val="Calibri"/>
        <family val="2"/>
        <scheme val="minor"/>
      </rPr>
      <t>isError &amp;&amp; !data</t>
    </r>
    <r>
      <rPr>
        <sz val="11"/>
        <color theme="1"/>
        <rFont val="Calibri"/>
        <family val="2"/>
        <scheme val="minor"/>
      </rPr>
      <t xml:space="preserve"> and network is offline, render an offline empty-state card.
- Display exact string: "</t>
    </r>
    <r>
      <rPr>
        <b/>
        <sz val="11"/>
        <color theme="1"/>
        <rFont val="Calibri"/>
        <family val="2"/>
        <scheme val="minor"/>
      </rPr>
      <t>You're offline. Connect to the internet to load your screenings.</t>
    </r>
    <r>
      <rPr>
        <sz val="11"/>
        <color theme="1"/>
        <rFont val="Calibri"/>
        <family val="2"/>
        <scheme val="minor"/>
      </rPr>
      <t>" (US 1.8 AC 4).
- Render an interactive [</t>
    </r>
    <r>
      <rPr>
        <b/>
        <sz val="11"/>
        <color theme="1"/>
        <rFont val="Calibri"/>
        <family val="2"/>
        <scheme val="minor"/>
      </rPr>
      <t>Retry</t>
    </r>
    <r>
      <rPr>
        <sz val="11"/>
        <color theme="1"/>
        <rFont val="Calibri"/>
        <family val="2"/>
        <scheme val="minor"/>
      </rPr>
      <t xml:space="preserve">] button that calls </t>
    </r>
    <r>
      <rPr>
        <b/>
        <sz val="11"/>
        <color theme="1"/>
        <rFont val="Calibri"/>
        <family val="2"/>
        <scheme val="minor"/>
      </rPr>
      <t>refetch()</t>
    </r>
    <r>
      <rPr>
        <sz val="11"/>
        <color theme="1"/>
        <rFont val="Calibri"/>
        <family val="2"/>
        <scheme val="minor"/>
      </rPr>
      <t xml:space="preserve">.
3. </t>
    </r>
    <r>
      <rPr>
        <b/>
        <sz val="11"/>
        <color theme="1"/>
        <rFont val="Calibri"/>
        <family val="2"/>
        <scheme val="minor"/>
      </rPr>
      <t>Server Error Banner</t>
    </r>
    <r>
      <rPr>
        <sz val="11"/>
        <color theme="1"/>
        <rFont val="Calibri"/>
        <family val="2"/>
        <scheme val="minor"/>
      </rPr>
      <t xml:space="preserve"> (OverviewErrorBanner.tsx):
- When server returns </t>
    </r>
    <r>
      <rPr>
        <b/>
        <sz val="11"/>
        <color theme="1"/>
        <rFont val="Calibri"/>
        <family val="2"/>
        <scheme val="minor"/>
      </rPr>
      <t>500 Internal Server Error</t>
    </r>
    <r>
      <rPr>
        <sz val="11"/>
        <color theme="1"/>
        <rFont val="Calibri"/>
        <family val="2"/>
        <scheme val="minor"/>
      </rPr>
      <t xml:space="preserve"> (</t>
    </r>
    <r>
      <rPr>
        <b/>
        <sz val="11"/>
        <color theme="1"/>
        <rFont val="Calibri"/>
        <family val="2"/>
        <scheme val="minor"/>
      </rPr>
      <t>isError === true</t>
    </r>
    <r>
      <rPr>
        <sz val="11"/>
        <color theme="1"/>
        <rFont val="Calibri"/>
        <family val="2"/>
        <scheme val="minor"/>
      </rPr>
      <t xml:space="preserve">) AND cached </t>
    </r>
    <r>
      <rPr>
        <b/>
        <sz val="11"/>
        <color theme="1"/>
        <rFont val="Calibri"/>
        <family val="2"/>
        <scheme val="minor"/>
      </rPr>
      <t>data</t>
    </r>
    <r>
      <rPr>
        <sz val="11"/>
        <color theme="1"/>
        <rFont val="Calibri"/>
        <family val="2"/>
        <scheme val="minor"/>
      </rPr>
      <t xml:space="preserve"> exists:
a. Do not crash or hide cached items (US 1.8 AC 5).
b. Render a top yellow/red retryable error banner: "</t>
    </r>
    <r>
      <rPr>
        <b/>
        <sz val="11"/>
        <color theme="1"/>
        <rFont val="Calibri"/>
        <family val="2"/>
        <scheme val="minor"/>
      </rPr>
      <t>Unable to sync latest schedule. Showing offline copy.</t>
    </r>
    <r>
      <rPr>
        <sz val="11"/>
        <color theme="1"/>
        <rFont val="Calibri"/>
        <family val="2"/>
        <scheme val="minor"/>
      </rPr>
      <t>" with a [</t>
    </r>
    <r>
      <rPr>
        <b/>
        <sz val="11"/>
        <color theme="1"/>
        <rFont val="Calibri"/>
        <family val="2"/>
        <scheme val="minor"/>
      </rPr>
      <t>Retry</t>
    </r>
    <r>
      <rPr>
        <sz val="11"/>
        <color theme="1"/>
        <rFont val="Calibri"/>
        <family val="2"/>
        <scheme val="minor"/>
      </rPr>
      <t>] link.</t>
    </r>
  </si>
  <si>
    <r>
      <rPr>
        <b/>
        <sz val="11"/>
        <color theme="1"/>
        <rFont val="Calibri"/>
        <family val="2"/>
        <scheme val="minor"/>
      </rPr>
      <t>Automated Jest Frontend Test Suite for Overview Workflows, Pull-to-Refresh, Offline States &amp; Modal Actions</t>
    </r>
    <r>
      <rPr>
        <sz val="11"/>
        <color theme="1"/>
        <rFont val="Calibri"/>
        <family val="2"/>
        <scheme val="minor"/>
      </rPr>
      <t xml:space="preserve">
1.  Create </t>
    </r>
    <r>
      <rPr>
        <b/>
        <sz val="11"/>
        <color theme="1"/>
        <rFont val="Calibri"/>
        <family val="2"/>
        <scheme val="minor"/>
      </rPr>
      <t>checkupp-mobile/tests/screenings/healthOverviewEpicWorkflows.test.js</t>
    </r>
    <r>
      <rPr>
        <sz val="11"/>
        <color theme="1"/>
        <rFont val="Calibri"/>
        <family val="2"/>
        <scheme val="minor"/>
      </rPr>
      <t xml:space="preserve">
1. Configure Jest + </t>
    </r>
    <r>
      <rPr>
        <b/>
        <sz val="11"/>
        <color theme="1"/>
        <rFont val="Calibri"/>
        <family val="2"/>
        <scheme val="minor"/>
      </rPr>
      <t>@testing-library/react-native</t>
    </r>
    <r>
      <rPr>
        <sz val="11"/>
        <color theme="1"/>
        <rFont val="Calibri"/>
        <family val="2"/>
        <scheme val="minor"/>
      </rPr>
      <t xml:space="preserve"> with mocked Expo Router, NetInfo, and TanStack Query.
- </t>
    </r>
    <r>
      <rPr>
        <b/>
        <sz val="11"/>
        <color theme="1"/>
        <rFont val="Calibri"/>
        <family val="2"/>
        <scheme val="minor"/>
      </rPr>
      <t>Test Case 1</t>
    </r>
    <r>
      <rPr>
        <sz val="11"/>
        <color theme="1"/>
        <rFont val="Calibri"/>
        <family val="2"/>
        <scheme val="minor"/>
      </rPr>
      <t xml:space="preserve"> (Tab Counts &amp; Chronological Order - US 1.1, 1.7):
a. Verify tab titles render Upcoming (2), Due (2), Completed (1).
b. Verify Due tab renders Overdue card at index 0 with red #EF4444 styling and "OVERDUE" badge.
-</t>
    </r>
    <r>
      <rPr>
        <b/>
        <sz val="11"/>
        <color theme="1"/>
        <rFont val="Calibri"/>
        <family val="2"/>
        <scheme val="minor"/>
      </rPr>
      <t xml:space="preserve"> Test Case 2</t>
    </r>
    <r>
      <rPr>
        <sz val="11"/>
        <color theme="1"/>
        <rFont val="Calibri"/>
        <family val="2"/>
        <scheme val="minor"/>
      </rPr>
      <t xml:space="preserve"> (Decision Modal &amp; Routing - US 1.5):
a. Simulate tap on upcoming card. Assert modal appears with exact text "Have you had this screening?".
b. Simulate press on "Yes". Assert router.push is called with form parameters.
- </t>
    </r>
    <r>
      <rPr>
        <b/>
        <sz val="11"/>
        <color theme="1"/>
        <rFont val="Calibri"/>
        <family val="2"/>
        <scheme val="minor"/>
      </rPr>
      <t>Test Case 3</t>
    </r>
    <r>
      <rPr>
        <sz val="11"/>
        <color theme="1"/>
        <rFont val="Calibri"/>
        <family val="2"/>
        <scheme val="minor"/>
      </rPr>
      <t xml:space="preserve"> (Offline Cache &amp; Refresh - US 1.8):
- Simulate offline network state + pull-to-refresh. Assert spinner dismisses within 3000ms and toast "No internet connection. Showing your last saved schedule." is rendered.
- </t>
    </r>
    <r>
      <rPr>
        <b/>
        <sz val="11"/>
        <color theme="1"/>
        <rFont val="Calibri"/>
        <family val="2"/>
        <scheme val="minor"/>
      </rPr>
      <t>Test Case 4</t>
    </r>
    <r>
      <rPr>
        <sz val="11"/>
        <color theme="1"/>
        <rFont val="Calibri"/>
        <family val="2"/>
        <scheme val="minor"/>
      </rPr>
      <t xml:space="preserve"> (Offline Cold Start - US 1.8):
a. Simulate offline network + data: undefined. Assert exact text "You're offline. Connect to the internet to load your screenings." is rendered.
- </t>
    </r>
    <r>
      <rPr>
        <b/>
        <sz val="11"/>
        <color theme="1"/>
        <rFont val="Calibri"/>
        <family val="2"/>
        <scheme val="minor"/>
      </rPr>
      <t>Test Case 5</t>
    </r>
    <r>
      <rPr>
        <sz val="11"/>
        <color theme="1"/>
        <rFont val="Calibri"/>
        <family val="2"/>
        <scheme val="minor"/>
      </rPr>
      <t xml:space="preserve"> (Empty State Exact Strings - US 1.2–1.4):
a. Pass empty arrays for all 3 tabs. Assert exact strings:
"</t>
    </r>
    <r>
      <rPr>
        <b/>
        <sz val="11"/>
        <color theme="1"/>
        <rFont val="Calibri"/>
        <family val="2"/>
        <scheme val="minor"/>
      </rPr>
      <t>You don't have any upcoming screenings.</t>
    </r>
    <r>
      <rPr>
        <sz val="11"/>
        <color theme="1"/>
        <rFont val="Calibri"/>
        <family val="2"/>
        <scheme val="minor"/>
      </rPr>
      <t>"
"</t>
    </r>
    <r>
      <rPr>
        <b/>
        <sz val="11"/>
        <color theme="1"/>
        <rFont val="Calibri"/>
        <family val="2"/>
        <scheme val="minor"/>
      </rPr>
      <t>You don't have any due screenings.</t>
    </r>
    <r>
      <rPr>
        <sz val="11"/>
        <color theme="1"/>
        <rFont val="Calibri"/>
        <family val="2"/>
        <scheme val="minor"/>
      </rPr>
      <t>"
"</t>
    </r>
    <r>
      <rPr>
        <b/>
        <sz val="11"/>
        <color theme="1"/>
        <rFont val="Calibri"/>
        <family val="2"/>
        <scheme val="minor"/>
      </rPr>
      <t>You don't have any completed screenings.</t>
    </r>
    <r>
      <rPr>
        <sz val="11"/>
        <color theme="1"/>
        <rFont val="Calibri"/>
        <family val="2"/>
        <scheme val="minor"/>
      </rPr>
      <t>"</t>
    </r>
  </si>
  <si>
    <t>1.1, 1.2, 1.3, 1.4, 1.5, 1.6, 1.7, 1.8</t>
  </si>
  <si>
    <r>
      <rPr>
        <b/>
        <sz val="11"/>
        <color theme="1"/>
        <rFont val="Calibri"/>
        <family val="2"/>
        <scheme val="minor"/>
      </rPr>
      <t xml:space="preserve">Define Prisma Schema Models, TypeScript Interfaces &amp; Joi Validation Schemas for Custom Conditions
1. </t>
    </r>
    <r>
      <rPr>
        <sz val="11"/>
        <color theme="1"/>
        <rFont val="Calibri"/>
        <family val="2"/>
        <scheme val="minor"/>
      </rPr>
      <t xml:space="preserve">Modify </t>
    </r>
    <r>
      <rPr>
        <b/>
        <sz val="11"/>
        <color theme="1"/>
        <rFont val="Calibri"/>
        <family val="2"/>
        <scheme val="minor"/>
      </rPr>
      <t>checkupp-api/prisma/schema.prisma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checkupp-api/src/modules/screenings/screening.constants.ts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checkupp-api/src/modules/screenings/screening.validation.ts
2. Prisma Schema</t>
    </r>
    <r>
      <rPr>
        <sz val="11"/>
        <color theme="1"/>
        <rFont val="Calibri"/>
        <family val="2"/>
        <scheme val="minor"/>
      </rPr>
      <t xml:space="preserve"> (schema.prisma):
- Add </t>
    </r>
    <r>
      <rPr>
        <b/>
        <sz val="11"/>
        <color theme="1"/>
        <rFont val="Calibri"/>
        <family val="2"/>
        <scheme val="minor"/>
      </rPr>
      <t>CustomCondition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scheme val="minor"/>
      </rPr>
      <t>CustomConditionRecord</t>
    </r>
    <r>
      <rPr>
        <sz val="11"/>
        <color theme="1"/>
        <rFont val="Calibri"/>
        <family val="2"/>
        <scheme val="minor"/>
      </rPr>
      <t xml:space="preserve"> models with strict tenant isolation (</t>
    </r>
    <r>
      <rPr>
        <b/>
        <sz val="11"/>
        <color theme="1"/>
        <rFont val="Calibri"/>
        <family val="2"/>
        <scheme val="minor"/>
      </rPr>
      <t>userId</t>
    </r>
    <r>
      <rPr>
        <sz val="11"/>
        <color theme="1"/>
        <rFont val="Calibri"/>
        <family val="2"/>
        <scheme val="minor"/>
      </rPr>
      <t xml:space="preserve"> indexed FK):
model CustomCondition {
  id              String                  @id @default(uuid())
  userId          String
  conditionName   String
  monitoringType  String                  // e.g. "Blood test", "Imaging/ Radiology", "Other: [custom]"
  frequencyType   String                  // "Monthly" | "Every 3 Months" | "Every 6 Months" | "Annually" | "Custom"
  customInterval  Int?                    // Numeric stepper value when frequencyType == "Custom"
  customUnit      String?                 // "Days" | "Months" | "Years"
  careProvider    String
  createdAt       DateTime                @default(now())
  updatedAt       DateTime                @updatedAt
  records         CustomConditionRecord[]
  @@index([userId])
}
model CustomConditionRecord {
  id                 String          @id @default(uuid())
  customConditionId  String
  userId             String
  checkDate          DateTime
  outcomeNotes       String?
  createdAt          DateTime        @default(now())
  customCondition    CustomCondition @relation(fields: [customConditionId], references: [id], onDelete: Cascade)
  @@index([customConditionId])
  @@index([userId])
}
2. </t>
    </r>
    <r>
      <rPr>
        <b/>
        <sz val="11"/>
        <color theme="1"/>
        <rFont val="Calibri"/>
        <family val="2"/>
        <scheme val="minor"/>
      </rPr>
      <t>Canonical TypeScript Interfaces</t>
    </r>
    <r>
      <rPr>
        <sz val="11"/>
        <color theme="1"/>
        <rFont val="Calibri"/>
        <family val="2"/>
        <scheme val="minor"/>
      </rPr>
      <t xml:space="preserve"> (screening.constants.ts): Export matching DTO types </t>
    </r>
    <r>
      <rPr>
        <b/>
        <sz val="11"/>
        <color theme="1"/>
        <rFont val="Calibri"/>
        <family val="2"/>
        <scheme val="minor"/>
      </rPr>
      <t>CustomConditionItem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scheme val="minor"/>
      </rPr>
      <t>CustomConditionRecordPayload</t>
    </r>
    <r>
      <rPr>
        <sz val="11"/>
        <color theme="1"/>
        <rFont val="Calibri"/>
        <family val="2"/>
        <scheme val="minor"/>
      </rPr>
      <t xml:space="preserve">.
3. </t>
    </r>
    <r>
      <rPr>
        <b/>
        <sz val="11"/>
        <color theme="1"/>
        <rFont val="Calibri"/>
        <family val="2"/>
        <scheme val="minor"/>
      </rPr>
      <t>Joi Validation Schemas</t>
    </r>
    <r>
      <rPr>
        <sz val="11"/>
        <color theme="1"/>
        <rFont val="Calibri"/>
        <family val="2"/>
        <scheme val="minor"/>
      </rPr>
      <t xml:space="preserve"> (screening.validation.ts):
- Define </t>
    </r>
    <r>
      <rPr>
        <b/>
        <sz val="11"/>
        <color theme="1"/>
        <rFont val="Calibri"/>
        <family val="2"/>
        <scheme val="minor"/>
      </rPr>
      <t>createCustomConditionSchema</t>
    </r>
    <r>
      <rPr>
        <sz val="11"/>
        <color theme="1"/>
        <rFont val="Calibri"/>
        <family val="2"/>
        <scheme val="minor"/>
      </rPr>
      <t xml:space="preserve">:
a. </t>
    </r>
    <r>
      <rPr>
        <b/>
        <sz val="11"/>
        <color theme="1"/>
        <rFont val="Calibri"/>
        <family val="2"/>
        <scheme val="minor"/>
      </rPr>
      <t>conditionName</t>
    </r>
    <r>
      <rPr>
        <sz val="11"/>
        <color theme="1"/>
        <rFont val="Calibri"/>
        <family val="2"/>
        <scheme val="minor"/>
      </rPr>
      <t xml:space="preserve">: required non-empty string (&lt;= 100 chars).
b. </t>
    </r>
    <r>
      <rPr>
        <b/>
        <sz val="11"/>
        <color theme="1"/>
        <rFont val="Calibri"/>
        <family val="2"/>
        <scheme val="minor"/>
      </rPr>
      <t>monitoringType</t>
    </r>
    <r>
      <rPr>
        <sz val="11"/>
        <color theme="1"/>
        <rFont val="Calibri"/>
        <family val="2"/>
        <scheme val="minor"/>
      </rPr>
      <t>: required string.
c. f</t>
    </r>
    <r>
      <rPr>
        <b/>
        <sz val="11"/>
        <color theme="1"/>
        <rFont val="Calibri"/>
        <family val="2"/>
        <scheme val="minor"/>
      </rPr>
      <t>requencyType</t>
    </r>
    <r>
      <rPr>
        <sz val="11"/>
        <color theme="1"/>
        <rFont val="Calibri"/>
        <family val="2"/>
        <scheme val="minor"/>
      </rPr>
      <t xml:space="preserve">: required enum (['Monthly', 'Every 3 Months', 'Every 6 Months', 'Annually', 'Custom']).
d. </t>
    </r>
    <r>
      <rPr>
        <b/>
        <sz val="11"/>
        <color theme="1"/>
        <rFont val="Calibri"/>
        <family val="2"/>
        <scheme val="minor"/>
      </rPr>
      <t>customInterval</t>
    </r>
    <r>
      <rPr>
        <sz val="11"/>
        <color theme="1"/>
        <rFont val="Calibri"/>
        <family val="2"/>
        <scheme val="minor"/>
      </rPr>
      <t xml:space="preserve">: required positive integer when </t>
    </r>
    <r>
      <rPr>
        <b/>
        <sz val="11"/>
        <color theme="1"/>
        <rFont val="Calibri"/>
        <family val="2"/>
        <scheme val="minor"/>
      </rPr>
      <t>frequencyType === 'Custom'</t>
    </r>
    <r>
      <rPr>
        <sz val="11"/>
        <color theme="1"/>
        <rFont val="Calibri"/>
        <family val="2"/>
        <scheme val="minor"/>
      </rPr>
      <t xml:space="preserve">, optional otherwise.
e. </t>
    </r>
    <r>
      <rPr>
        <b/>
        <sz val="11"/>
        <color theme="1"/>
        <rFont val="Calibri"/>
        <family val="2"/>
        <scheme val="minor"/>
      </rPr>
      <t>customUnit</t>
    </r>
    <r>
      <rPr>
        <sz val="11"/>
        <color theme="1"/>
        <rFont val="Calibri"/>
        <family val="2"/>
        <scheme val="minor"/>
      </rPr>
      <t xml:space="preserve">: required enum (['Days', 'Months', 'Years']) when </t>
    </r>
    <r>
      <rPr>
        <b/>
        <sz val="11"/>
        <color theme="1"/>
        <rFont val="Calibri"/>
        <family val="2"/>
        <scheme val="minor"/>
      </rPr>
      <t>frequencyType === 'Custom'</t>
    </r>
    <r>
      <rPr>
        <sz val="11"/>
        <color theme="1"/>
        <rFont val="Calibri"/>
        <family val="2"/>
        <scheme val="minor"/>
      </rPr>
      <t xml:space="preserve">.
f. </t>
    </r>
    <r>
      <rPr>
        <b/>
        <sz val="11"/>
        <color theme="1"/>
        <rFont val="Calibri"/>
        <family val="2"/>
        <scheme val="minor"/>
      </rPr>
      <t>careProvider</t>
    </r>
    <r>
      <rPr>
        <sz val="11"/>
        <color theme="1"/>
        <rFont val="Calibri"/>
        <family val="2"/>
        <scheme val="minor"/>
      </rPr>
      <t xml:space="preserve">: required non-empty string &lt; 100 chars).
- Define </t>
    </r>
    <r>
      <rPr>
        <b/>
        <sz val="11"/>
        <color theme="1"/>
        <rFont val="Calibri"/>
        <family val="2"/>
        <scheme val="minor"/>
      </rPr>
      <t>logCustomConditionRecordSchema</t>
    </r>
    <r>
      <rPr>
        <sz val="11"/>
        <color theme="1"/>
        <rFont val="Calibri"/>
        <family val="2"/>
        <scheme val="minor"/>
      </rPr>
      <t xml:space="preserve">:
a. </t>
    </r>
    <r>
      <rPr>
        <b/>
        <sz val="11"/>
        <color theme="1"/>
        <rFont val="Calibri"/>
        <family val="2"/>
        <scheme val="minor"/>
      </rPr>
      <t>checkDate</t>
    </r>
    <r>
      <rPr>
        <sz val="11"/>
        <color theme="1"/>
        <rFont val="Calibri"/>
        <family val="2"/>
        <scheme val="minor"/>
      </rPr>
      <t xml:space="preserve">: required ISO-8601 UTC date string &lt;= current system date).
b. </t>
    </r>
    <r>
      <rPr>
        <b/>
        <sz val="11"/>
        <color theme="1"/>
        <rFont val="Calibri"/>
        <family val="2"/>
        <scheme val="minor"/>
      </rPr>
      <t>outcomeNotes</t>
    </r>
    <r>
      <rPr>
        <sz val="11"/>
        <color theme="1"/>
        <rFont val="Calibri"/>
        <family val="2"/>
        <scheme val="minor"/>
      </rPr>
      <t>: optional string &lt;= 2000$ chars).</t>
    </r>
  </si>
  <si>
    <r>
      <rPr>
        <b/>
        <sz val="11"/>
        <color theme="1"/>
        <rFont val="Calibri"/>
        <family val="2"/>
        <scheme val="minor"/>
      </rPr>
      <t>Implement POST /me/screenings/custom-conditions &amp; GET /me/screenings/custom-conditions CRUD Endpoints</t>
    </r>
    <r>
      <rPr>
        <sz val="11"/>
        <color theme="1"/>
        <rFont val="Calibri"/>
        <family val="2"/>
        <scheme val="minor"/>
      </rPr>
      <t xml:space="preserve">
1. Modify </t>
    </r>
    <r>
      <rPr>
        <b/>
        <sz val="11"/>
        <color theme="1"/>
        <rFont val="Calibri"/>
        <family val="2"/>
        <scheme val="minor"/>
      </rPr>
      <t>checkupp-api/src/modules/screenings/screening.service.ts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checkupp-api/src/modules/screenings/screening.controller.ts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checkupp-api/src/modules/screenings/screening.routes.ts</t>
    </r>
    <r>
      <rPr>
        <sz val="11"/>
        <color theme="1"/>
        <rFont val="Calibri"/>
        <family val="2"/>
        <scheme val="minor"/>
      </rPr>
      <t xml:space="preserve">
1. </t>
    </r>
    <r>
      <rPr>
        <b/>
        <sz val="11"/>
        <color theme="1"/>
        <rFont val="Calibri"/>
        <family val="2"/>
        <scheme val="minor"/>
      </rPr>
      <t>Service Implementation</t>
    </r>
    <r>
      <rPr>
        <sz val="11"/>
        <color theme="1"/>
        <rFont val="Calibri"/>
        <family val="2"/>
        <scheme val="minor"/>
      </rPr>
      <t xml:space="preserve"> (screening.service.ts):
- Implement </t>
    </r>
    <r>
      <rPr>
        <b/>
        <sz val="11"/>
        <color theme="1"/>
        <rFont val="Calibri"/>
        <family val="2"/>
        <scheme val="minor"/>
      </rPr>
      <t>createCustomCondition(userId: string, payload: CreateCustomConditionDTO): Promise&lt;CustomConditionItem&gt;</t>
    </r>
    <r>
      <rPr>
        <sz val="11"/>
        <color theme="1"/>
        <rFont val="Calibri"/>
        <family val="2"/>
        <scheme val="minor"/>
      </rPr>
      <t xml:space="preserve"> storing the entity in </t>
    </r>
    <r>
      <rPr>
        <b/>
        <sz val="11"/>
        <color theme="1"/>
        <rFont val="Calibri"/>
        <family val="2"/>
        <scheme val="minor"/>
      </rPr>
      <t>prisma.customCondition</t>
    </r>
    <r>
      <rPr>
        <sz val="11"/>
        <color theme="1"/>
        <rFont val="Calibri"/>
        <family val="2"/>
        <scheme val="minor"/>
      </rPr>
      <t xml:space="preserve">.
- Implement </t>
    </r>
    <r>
      <rPr>
        <b/>
        <sz val="11"/>
        <color theme="1"/>
        <rFont val="Calibri"/>
        <family val="2"/>
        <scheme val="minor"/>
      </rPr>
      <t>getUserCustomConditions(userId: string): Promise&lt;CustomConditionItem[]&gt;</t>
    </r>
    <r>
      <rPr>
        <sz val="11"/>
        <color theme="1"/>
        <rFont val="Calibri"/>
        <family val="2"/>
        <scheme val="minor"/>
      </rPr>
      <t xml:space="preserve"> fetching all conditions for </t>
    </r>
    <r>
      <rPr>
        <b/>
        <sz val="11"/>
        <color theme="1"/>
        <rFont val="Calibri"/>
        <family val="2"/>
        <scheme val="minor"/>
      </rPr>
      <t>userId</t>
    </r>
    <r>
      <rPr>
        <sz val="11"/>
        <color theme="1"/>
        <rFont val="Calibri"/>
        <family val="2"/>
        <scheme val="minor"/>
      </rPr>
      <t>, including the most recent associated record (</t>
    </r>
    <r>
      <rPr>
        <b/>
        <sz val="11"/>
        <color theme="1"/>
        <rFont val="Calibri"/>
        <family val="2"/>
        <scheme val="minor"/>
      </rPr>
      <t>records: { orderBy: { checkDate: 'desc' }, take: 1 }</t>
    </r>
    <r>
      <rPr>
        <sz val="11"/>
        <color theme="1"/>
        <rFont val="Calibri"/>
        <family val="2"/>
        <scheme val="minor"/>
      </rPr>
      <t>) to supply the "</t>
    </r>
    <r>
      <rPr>
        <b/>
        <sz val="11"/>
        <color theme="1"/>
        <rFont val="Calibri"/>
        <family val="2"/>
        <scheme val="minor"/>
      </rPr>
      <t>Last: [Date]</t>
    </r>
    <r>
      <rPr>
        <sz val="11"/>
        <color theme="1"/>
        <rFont val="Calibri"/>
        <family val="2"/>
        <scheme val="minor"/>
      </rPr>
      <t xml:space="preserve">" timestamp to the UI.
2. </t>
    </r>
    <r>
      <rPr>
        <b/>
        <sz val="11"/>
        <color theme="1"/>
        <rFont val="Calibri"/>
        <family val="2"/>
        <scheme val="minor"/>
      </rPr>
      <t>Controller &amp; Router Wiring</t>
    </r>
    <r>
      <rPr>
        <sz val="11"/>
        <color theme="1"/>
        <rFont val="Calibri"/>
        <family val="2"/>
        <scheme val="minor"/>
      </rPr>
      <t xml:space="preserve">:
- In </t>
    </r>
    <r>
      <rPr>
        <b/>
        <sz val="11"/>
        <color theme="1"/>
        <rFont val="Calibri"/>
        <family val="2"/>
        <scheme val="minor"/>
      </rPr>
      <t>screening.controller.ts</t>
    </r>
    <r>
      <rPr>
        <sz val="11"/>
        <color theme="1"/>
        <rFont val="Calibri"/>
        <family val="2"/>
        <scheme val="minor"/>
      </rPr>
      <t xml:space="preserve">, add </t>
    </r>
    <r>
      <rPr>
        <b/>
        <sz val="11"/>
        <color theme="1"/>
        <rFont val="Calibri"/>
        <family val="2"/>
        <scheme val="minor"/>
      </rPr>
      <t>createCustomConditionHandler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scheme val="minor"/>
      </rPr>
      <t>getCustomConditionsHandler</t>
    </r>
    <r>
      <rPr>
        <sz val="11"/>
        <color theme="1"/>
        <rFont val="Calibri"/>
        <family val="2"/>
        <scheme val="minor"/>
      </rPr>
      <t xml:space="preserve"> wrapped in </t>
    </r>
    <r>
      <rPr>
        <b/>
        <sz val="11"/>
        <color theme="1"/>
        <rFont val="Calibri"/>
        <family val="2"/>
        <scheme val="minor"/>
      </rPr>
      <t>asyncHandler</t>
    </r>
    <r>
      <rPr>
        <sz val="11"/>
        <color theme="1"/>
        <rFont val="Calibri"/>
        <family val="2"/>
        <scheme val="minor"/>
      </rPr>
      <t xml:space="preserve">.
- In </t>
    </r>
    <r>
      <rPr>
        <b/>
        <sz val="11"/>
        <color theme="1"/>
        <rFont val="Calibri"/>
        <family val="2"/>
        <scheme val="minor"/>
      </rPr>
      <t>screening.routes.ts</t>
    </r>
    <r>
      <rPr>
        <sz val="11"/>
        <color theme="1"/>
        <rFont val="Calibri"/>
        <family val="2"/>
        <scheme val="minor"/>
      </rPr>
      <t xml:space="preserve">, register:
a. </t>
    </r>
    <r>
      <rPr>
        <b/>
        <sz val="11"/>
        <color theme="1"/>
        <rFont val="Calibri"/>
        <family val="2"/>
        <scheme val="minor"/>
      </rPr>
      <t>router.post('/custom-conditions', authMiddleware, validate(createCustomConditionSchema), createCustomConditionHandler)</t>
    </r>
    <r>
      <rPr>
        <sz val="11"/>
        <color theme="1"/>
        <rFont val="Calibri"/>
        <family val="2"/>
        <scheme val="minor"/>
      </rPr>
      <t xml:space="preserve">
b. </t>
    </r>
    <r>
      <rPr>
        <b/>
        <sz val="11"/>
        <color theme="1"/>
        <rFont val="Calibri"/>
        <family val="2"/>
        <scheme val="minor"/>
      </rPr>
      <t>router.get('/custom-conditions', authMiddleware, getCustomConditionsHandler)</t>
    </r>
    <r>
      <rPr>
        <sz val="11"/>
        <color theme="1"/>
        <rFont val="Calibri"/>
        <family val="2"/>
        <scheme val="minor"/>
      </rPr>
      <t xml:space="preserve">
3. </t>
    </r>
    <r>
      <rPr>
        <b/>
        <sz val="11"/>
        <color theme="1"/>
        <rFont val="Calibri"/>
        <family val="2"/>
        <scheme val="minor"/>
      </rPr>
      <t>Audit Logging</t>
    </r>
    <r>
      <rPr>
        <sz val="11"/>
        <color theme="1"/>
        <rFont val="Calibri"/>
        <family val="2"/>
        <scheme val="minor"/>
      </rPr>
      <t xml:space="preserve">:
- Trigger immutable audit event </t>
    </r>
    <r>
      <rPr>
        <b/>
        <sz val="11"/>
        <color theme="1"/>
        <rFont val="Calibri"/>
        <family val="2"/>
        <scheme val="minor"/>
      </rPr>
      <t>CREATE_CUSTOM_CONDITION</t>
    </r>
    <r>
      <rPr>
        <sz val="11"/>
        <color theme="1"/>
        <rFont val="Calibri"/>
        <family val="2"/>
        <scheme val="minor"/>
      </rPr>
      <t xml:space="preserve"> via </t>
    </r>
    <r>
      <rPr>
        <b/>
        <sz val="11"/>
        <color theme="1"/>
        <rFont val="Calibri"/>
        <family val="2"/>
        <scheme val="minor"/>
      </rPr>
      <t>audit.service.ts</t>
    </r>
    <r>
      <rPr>
        <sz val="11"/>
        <color theme="1"/>
        <rFont val="Calibri"/>
        <family val="2"/>
        <scheme val="minor"/>
      </rPr>
      <t xml:space="preserve"> upon successful creation.</t>
    </r>
  </si>
  <si>
    <t>18.2, 18.3, 18.4</t>
  </si>
  <si>
    <t>18.1, 18.2, 18.3, 18.4, 18.5</t>
  </si>
  <si>
    <r>
      <rPr>
        <b/>
        <sz val="11"/>
        <color theme="1"/>
        <rFont val="Calibri"/>
        <family val="2"/>
        <scheme val="minor"/>
      </rPr>
      <t>Implement POST /me/screenings/custom-conditions/:id/records Outcome Logging &amp; Due-Date Advancement Engine</t>
    </r>
    <r>
      <rPr>
        <sz val="11"/>
        <color theme="1"/>
        <rFont val="Calibri"/>
        <family val="2"/>
        <scheme val="minor"/>
      </rPr>
      <t xml:space="preserve">
1. Modify </t>
    </r>
    <r>
      <rPr>
        <b/>
        <sz val="11"/>
        <color theme="1"/>
        <rFont val="Calibri"/>
        <family val="2"/>
        <scheme val="minor"/>
      </rPr>
      <t>checkupp-api/src/modules/screenings/screening.service.ts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checkupp-api/src/modules/screenings/screening.controller.ts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 xml:space="preserve">checkupp-api/src/modules/screenings/screening.routes.ts
</t>
    </r>
    <r>
      <rPr>
        <sz val="11"/>
        <color theme="1"/>
        <rFont val="Calibri"/>
        <family val="2"/>
        <scheme val="minor"/>
      </rPr>
      <t xml:space="preserve">2. </t>
    </r>
    <r>
      <rPr>
        <b/>
        <sz val="11"/>
        <color theme="1"/>
        <rFont val="Calibri"/>
        <family val="2"/>
        <scheme val="minor"/>
      </rPr>
      <t>Outcome Logging Service</t>
    </r>
    <r>
      <rPr>
        <sz val="11"/>
        <color theme="1"/>
        <rFont val="Calibri"/>
        <family val="2"/>
        <scheme val="minor"/>
      </rPr>
      <t xml:space="preserve"> (screening.service.ts):
- Implement </t>
    </r>
    <r>
      <rPr>
        <b/>
        <sz val="11"/>
        <color theme="1"/>
        <rFont val="Calibri"/>
        <family val="2"/>
        <scheme val="minor"/>
      </rPr>
      <t>logCustomConditionRecord(userId: string, customConditionId: string, payload: CustomRecordPayload)</t>
    </r>
    <r>
      <rPr>
        <sz val="11"/>
        <color theme="1"/>
        <rFont val="Calibri"/>
        <family val="2"/>
        <scheme val="minor"/>
      </rPr>
      <t xml:space="preserve">:
a. Verify </t>
    </r>
    <r>
      <rPr>
        <b/>
        <sz val="11"/>
        <color theme="1"/>
        <rFont val="Calibri"/>
        <family val="2"/>
        <scheme val="minor"/>
      </rPr>
      <t>prisma.customCondition.findFirst({ where: { id: customConditionId, userId } })</t>
    </r>
    <r>
      <rPr>
        <sz val="11"/>
        <color theme="1"/>
        <rFont val="Calibri"/>
        <family val="2"/>
        <scheme val="minor"/>
      </rPr>
      <t xml:space="preserve"> exists </t>
    </r>
    <r>
      <rPr>
        <b/>
        <sz val="11"/>
        <color theme="1"/>
        <rFont val="Calibri"/>
        <family val="2"/>
        <scheme val="minor"/>
      </rPr>
      <t>(return 404 NotFoundError</t>
    </r>
    <r>
      <rPr>
        <sz val="11"/>
        <color theme="1"/>
        <rFont val="Calibri"/>
        <family val="2"/>
        <scheme val="minor"/>
      </rPr>
      <t xml:space="preserve"> if unauthorized/missing).
b. Insert row into prisma.customConditionRecord.
3. </t>
    </r>
    <r>
      <rPr>
        <b/>
        <sz val="11"/>
        <color theme="1"/>
        <rFont val="Calibri"/>
        <family val="2"/>
        <scheme val="minor"/>
      </rPr>
      <t>Scheduling Engine Integration</t>
    </r>
    <r>
      <rPr>
        <sz val="11"/>
        <color theme="1"/>
        <rFont val="Calibri"/>
        <family val="2"/>
        <scheme val="minor"/>
      </rPr>
      <t xml:space="preserve">:
a. Calculate </t>
    </r>
    <r>
      <rPr>
        <b/>
        <sz val="11"/>
        <color theme="1"/>
        <rFont val="Calibri"/>
        <family val="2"/>
        <scheme val="minor"/>
      </rPr>
      <t>nextDueDate</t>
    </r>
    <r>
      <rPr>
        <sz val="11"/>
        <color theme="1"/>
        <rFont val="Calibri"/>
        <family val="2"/>
        <scheme val="minor"/>
      </rPr>
      <t xml:space="preserve"> relative to </t>
    </r>
    <r>
      <rPr>
        <b/>
        <sz val="11"/>
        <color theme="1"/>
        <rFont val="Calibri"/>
        <family val="2"/>
        <scheme val="minor"/>
      </rPr>
      <t>payload.checkDate</t>
    </r>
    <r>
      <rPr>
        <sz val="11"/>
        <color theme="1"/>
        <rFont val="Calibri"/>
        <family val="2"/>
        <scheme val="minor"/>
      </rPr>
      <t xml:space="preserve"> based on frequency:
- Monthly: addMonths(checkDate, 1)
- Every 3 Months: addMonths(checkDate, 3)
- Every 6 Months: addMonths(checkDate, 6)
- Annually: addYears(checkDate, 1)
- Custom: add </t>
    </r>
    <r>
      <rPr>
        <b/>
        <sz val="11"/>
        <color theme="1"/>
        <rFont val="Calibri"/>
        <family val="2"/>
        <scheme val="minor"/>
      </rPr>
      <t>customInterval</t>
    </r>
    <r>
      <rPr>
        <sz val="11"/>
        <color theme="1"/>
        <rFont val="Calibri"/>
        <family val="2"/>
        <scheme val="minor"/>
      </rPr>
      <t xml:space="preserve"> according to </t>
    </r>
    <r>
      <rPr>
        <b/>
        <sz val="11"/>
        <color theme="1"/>
        <rFont val="Calibri"/>
        <family val="2"/>
        <scheme val="minor"/>
      </rPr>
      <t>customUnit</t>
    </r>
    <r>
      <rPr>
        <sz val="11"/>
        <color theme="1"/>
        <rFont val="Calibri"/>
        <family val="2"/>
        <scheme val="minor"/>
      </rPr>
      <t xml:space="preserve"> (Days, Months, or Years).
b. Ensure the custom condition item reflects this updated schedule when queried.
4. </t>
    </r>
    <r>
      <rPr>
        <b/>
        <sz val="11"/>
        <color theme="1"/>
        <rFont val="Calibri"/>
        <family val="2"/>
        <scheme val="minor"/>
      </rPr>
      <t>Router Binding</t>
    </r>
    <r>
      <rPr>
        <sz val="11"/>
        <color theme="1"/>
        <rFont val="Calibri"/>
        <family val="2"/>
        <scheme val="minor"/>
      </rPr>
      <t xml:space="preserve">: Register </t>
    </r>
    <r>
      <rPr>
        <b/>
        <sz val="11"/>
        <color theme="1"/>
        <rFont val="Calibri"/>
        <family val="2"/>
        <scheme val="minor"/>
      </rPr>
      <t>router.post('/custom-conditions/:id/records', authMiddleware, validate(logCustomConditionRecordSchema), logCustomConditionRecordHandler)</t>
    </r>
    <r>
      <rPr>
        <sz val="11"/>
        <color theme="1"/>
        <rFont val="Calibri"/>
        <family val="2"/>
        <scheme val="minor"/>
      </rPr>
      <t>.</t>
    </r>
  </si>
  <si>
    <r>
      <rPr>
        <b/>
        <sz val="11"/>
        <color theme="1"/>
        <rFont val="Calibri"/>
        <family val="2"/>
        <scheme val="minor"/>
      </rPr>
      <t>Automated Jest Unit &amp; Integration Test Suite for Custom Condition Creation, Frequency Math &amp; Outcome Logging</t>
    </r>
    <r>
      <rPr>
        <sz val="11"/>
        <color theme="1"/>
        <rFont val="Calibri"/>
        <family val="2"/>
        <scheme val="minor"/>
      </rPr>
      <t xml:space="preserve">
1. Create </t>
    </r>
    <r>
      <rPr>
        <b/>
        <sz val="11"/>
        <color theme="1"/>
        <rFont val="Calibri"/>
        <family val="2"/>
        <scheme val="minor"/>
      </rPr>
      <t xml:space="preserve">checkupp-api/tests/modules/screenings/customConditions.test.ts
2. </t>
    </r>
    <r>
      <rPr>
        <sz val="11"/>
        <color theme="1"/>
        <rFont val="Calibri"/>
        <family val="2"/>
        <scheme val="minor"/>
      </rPr>
      <t xml:space="preserve">Setup Jest + supertest against the Express server seeded with mock user user-test-uuid.
3. </t>
    </r>
    <r>
      <rPr>
        <b/>
        <sz val="11"/>
        <color theme="1"/>
        <rFont val="Calibri"/>
        <family val="2"/>
        <scheme val="minor"/>
      </rPr>
      <t>Test Case 1</t>
    </r>
    <r>
      <rPr>
        <sz val="11"/>
        <color theme="1"/>
        <rFont val="Calibri"/>
        <family val="2"/>
        <scheme val="minor"/>
      </rPr>
      <t xml:space="preserve"> (Creation - US 18.2, 18.3): Send valid payload with "Custom" frequency (customInterval: 45, customUnit: 'Days'). Assert HTTP 201 Created and database persistence.
4. </t>
    </r>
    <r>
      <rPr>
        <b/>
        <sz val="11"/>
        <color theme="1"/>
        <rFont val="Calibri"/>
        <family val="2"/>
        <scheme val="minor"/>
      </rPr>
      <t xml:space="preserve">Test Case 2 </t>
    </r>
    <r>
      <rPr>
        <sz val="11"/>
        <color theme="1"/>
        <rFont val="Calibri"/>
        <family val="2"/>
        <scheme val="minor"/>
      </rPr>
      <t xml:space="preserve">(Validation Rejection - US 18.2 AC 10): Omit careProvider or send empty conditionName. Assert HTTP 400 Bad Request.
5. </t>
    </r>
    <r>
      <rPr>
        <b/>
        <sz val="11"/>
        <color theme="1"/>
        <rFont val="Calibri"/>
        <family val="2"/>
        <scheme val="minor"/>
      </rPr>
      <t>Test Case 3</t>
    </r>
    <r>
      <rPr>
        <sz val="11"/>
        <color theme="1"/>
        <rFont val="Calibri"/>
        <family val="2"/>
        <scheme val="minor"/>
      </rPr>
      <t xml:space="preserve"> (Outcome Logging &amp; Latest Date - US 18.5):
- POST an outcome record with checkDate: "2026-08-02T00:00:00.000Z".
- Execute GET /me/screenings/custom-conditions and verify the payload returns the latest record check date to support green badge UI rendering.
6. </t>
    </r>
    <r>
      <rPr>
        <b/>
        <sz val="11"/>
        <color theme="1"/>
        <rFont val="Calibri"/>
        <family val="2"/>
        <scheme val="minor"/>
      </rPr>
      <t>Test Case 4</t>
    </r>
    <r>
      <rPr>
        <sz val="11"/>
        <color theme="1"/>
        <rFont val="Calibri"/>
        <family val="2"/>
        <scheme val="minor"/>
      </rPr>
      <t xml:space="preserve"> (Tenant Isolation): Verify another user's JWT token receives 404 when attempting to log an outcome against user-test-uuid's custom condition ID.</t>
    </r>
  </si>
  <si>
    <r>
      <rPr>
        <b/>
        <sz val="11"/>
        <color theme="1"/>
        <rFont val="Calibri"/>
        <family val="2"/>
        <scheme val="minor"/>
      </rPr>
      <t xml:space="preserve">Build SpecificConditionsTriggerCard.tsx Action Component &amp; Import into Health Checks Screening Tab
</t>
    </r>
    <r>
      <rPr>
        <sz val="11"/>
        <color theme="1"/>
        <rFont val="Calibri"/>
        <family val="2"/>
        <scheme val="minor"/>
      </rPr>
      <t xml:space="preserve">1. Create </t>
    </r>
    <r>
      <rPr>
        <b/>
        <sz val="11"/>
        <color theme="1"/>
        <rFont val="Calibri"/>
        <family val="2"/>
        <scheme val="minor"/>
      </rPr>
      <t>checkupp-mobile/components/screening/SpecificConditionsTriggerCard.tsx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 xml:space="preserve">checkupp-mobile/app/(tabs)/health-screening.tsx
2. Build Trigger Card </t>
    </r>
    <r>
      <rPr>
        <sz val="11"/>
        <color theme="1"/>
        <rFont val="Calibri"/>
        <family val="2"/>
        <scheme val="minor"/>
      </rPr>
      <t xml:space="preserve">(SpecificConditionsTriggerCard.tsx): 
- Create a modular functional React Native component styled with a clean white card border (bg-white rounded-xl border border-gray-100 p-4 mb-4).
- Render button/tab title: "Specific Conditions" in Poppins-SemiBold (font-psemibold).
- Render exact subtext (US 18.1 AC 2): "Uncommon, rare and specific conditions to me" in neutral gray (text-gray-500 font-pregular text-xs).
- Render an add icon (+) indicator on the right side using @expo/vector-icons/Ionicons (add-circle-outline or add icon with primary cyan #00CED1 tint) (US 18.1 AC 3).
- Accept prop: onPress: () =&gt; void. Wrap card in TouchableOpacity with accessible touch target (&gt;= 44px height).
2. </t>
    </r>
    <r>
      <rPr>
        <b/>
        <sz val="11"/>
        <color theme="1"/>
        <rFont val="Calibri"/>
        <family val="2"/>
        <scheme val="minor"/>
      </rPr>
      <t>Integrate into Screen</t>
    </r>
    <r>
      <rPr>
        <sz val="11"/>
        <color theme="1"/>
        <rFont val="Calibri"/>
        <family val="2"/>
        <scheme val="minor"/>
      </rPr>
      <t xml:space="preserve"> (health-screening.tsx):
- Import SpecificConditionsTriggerCard.
- Render it at the top of the "Available Health Checks" list when the "Health Checks" top tab is active.
- Attach onPress={() =&gt; setIsAddModalVisible(true)} to open the bottom sheet created.</t>
    </r>
  </si>
  <si>
    <r>
      <rPr>
        <b/>
        <sz val="11"/>
        <color theme="1"/>
        <rFont val="Calibri"/>
        <family val="2"/>
        <scheme val="minor"/>
      </rPr>
      <t>Build AddSpecificConditionModal.tsx Bottom Sheet Form with Dynamic Conditional Fields &amp; Validation</t>
    </r>
    <r>
      <rPr>
        <sz val="11"/>
        <color theme="1"/>
        <rFont val="Calibri"/>
        <family val="2"/>
        <scheme val="minor"/>
      </rPr>
      <t xml:space="preserve">
1. Create </t>
    </r>
    <r>
      <rPr>
        <b/>
        <sz val="11"/>
        <color theme="1"/>
        <rFont val="Calibri"/>
        <family val="2"/>
        <scheme val="minor"/>
      </rPr>
      <t>checkupp-mobile/components/screening/AddSpecificConditionModal.tsx</t>
    </r>
    <r>
      <rPr>
        <sz val="11"/>
        <color theme="1"/>
        <rFont val="Calibri"/>
        <family val="2"/>
        <scheme val="minor"/>
      </rPr>
      <t xml:space="preserve">
2. Modal Scaffold:
- Extend </t>
    </r>
    <r>
      <rPr>
        <b/>
        <sz val="11"/>
        <color theme="1"/>
        <rFont val="Calibri"/>
        <family val="2"/>
        <scheme val="minor"/>
      </rPr>
      <t>BaseModal.tsx</t>
    </r>
    <r>
      <rPr>
        <sz val="11"/>
        <color theme="1"/>
        <rFont val="Calibri"/>
        <family val="2"/>
        <scheme val="minor"/>
      </rPr>
      <t xml:space="preserve"> (checkupp-mobile/components/screening/shared/modals/BaseModal.tsx) configured as a bottom sheet.
- Title: "</t>
    </r>
    <r>
      <rPr>
        <b/>
        <sz val="11"/>
        <color theme="1"/>
        <rFont val="Calibri"/>
        <family val="2"/>
        <scheme val="minor"/>
      </rPr>
      <t>Add Specific Condition</t>
    </r>
    <r>
      <rPr>
        <sz val="11"/>
        <color theme="1"/>
        <rFont val="Calibri"/>
        <family val="2"/>
        <scheme val="minor"/>
      </rPr>
      <t xml:space="preserve">".
3. </t>
    </r>
    <r>
      <rPr>
        <b/>
        <sz val="11"/>
        <color theme="1"/>
        <rFont val="Calibri"/>
        <family val="2"/>
        <scheme val="minor"/>
      </rPr>
      <t>Form State &amp; Essential Inputs</t>
    </r>
    <r>
      <rPr>
        <sz val="11"/>
        <color theme="1"/>
        <rFont val="Calibri"/>
        <family val="2"/>
        <scheme val="minor"/>
      </rPr>
      <t xml:space="preserve"> (US 18.2 AC 1–4):
- </t>
    </r>
    <r>
      <rPr>
        <b/>
        <sz val="11"/>
        <color theme="1"/>
        <rFont val="Calibri"/>
        <family val="2"/>
        <scheme val="minor"/>
      </rPr>
      <t>Condition or Diagnosis</t>
    </r>
    <r>
      <rPr>
        <sz val="11"/>
        <color theme="1"/>
        <rFont val="Calibri"/>
        <family val="2"/>
        <scheme val="minor"/>
      </rPr>
      <t xml:space="preserve">: Free-text input (InputField.tsx).
- </t>
    </r>
    <r>
      <rPr>
        <b/>
        <sz val="11"/>
        <color theme="1"/>
        <rFont val="Calibri"/>
        <family val="2"/>
        <scheme val="minor"/>
      </rPr>
      <t>Monitoring Type</t>
    </r>
    <r>
      <rPr>
        <sz val="11"/>
        <color theme="1"/>
        <rFont val="Calibri"/>
        <family val="2"/>
        <scheme val="minor"/>
      </rPr>
      <t xml:space="preserve">: Dropdown selector (Picker.tsx) with options: "Blood test", "Imaging/ Radiology", "Doctor Review", "Endoscopy", "Other...".
- </t>
    </r>
    <r>
      <rPr>
        <b/>
        <sz val="11"/>
        <color theme="1"/>
        <rFont val="Calibri"/>
        <family val="2"/>
        <scheme val="minor"/>
      </rPr>
      <t>How Often?</t>
    </r>
    <r>
      <rPr>
        <sz val="11"/>
        <color theme="1"/>
        <rFont val="Calibri"/>
        <family val="2"/>
        <scheme val="minor"/>
      </rPr>
      <t xml:space="preserve">: Multi-choice selectable chips ("Monthly", "Every 3 Months", "Every 6 Months", "Annually", "Custom...").
- </t>
    </r>
    <r>
      <rPr>
        <b/>
        <sz val="11"/>
        <color theme="1"/>
        <rFont val="Calibri"/>
        <family val="2"/>
        <scheme val="minor"/>
      </rPr>
      <t>Doctor or Care Provider</t>
    </r>
    <r>
      <rPr>
        <sz val="11"/>
        <color theme="1"/>
        <rFont val="Calibri"/>
        <family val="2"/>
        <scheme val="minor"/>
      </rPr>
      <t xml:space="preserve">: Free-text input (InputField.tsx).
4. </t>
    </r>
    <r>
      <rPr>
        <b/>
        <sz val="11"/>
        <color theme="1"/>
        <rFont val="Calibri"/>
        <family val="2"/>
        <scheme val="minor"/>
      </rPr>
      <t>Conditional Dynamic UI Rendering</t>
    </r>
    <r>
      <rPr>
        <sz val="11"/>
        <color theme="1"/>
        <rFont val="Calibri"/>
        <family val="2"/>
        <scheme val="minor"/>
      </rPr>
      <t xml:space="preserve"> (US 18.2 AC 7, 8):
- When monitoringType === 'Other...': Render an additional free-text field labeled "Specify Monitoring Type".
- When frequencyType === 'Custom...': Render:
a. An engraved numeric stepper control (InputField.tsx with up/down chevrons chevron-up and chevron-down incrementing/decrementing customInterval by 1, minimum 1).
b. A secondary dropdown (Picker.tsx) with options: "Days", "Months", "Years".
5. </t>
    </r>
    <r>
      <rPr>
        <b/>
        <sz val="11"/>
        <color theme="1"/>
        <rFont val="Calibri"/>
        <family val="2"/>
        <scheme val="minor"/>
      </rPr>
      <t>Strict Mandatory Field Validation</t>
    </r>
    <r>
      <rPr>
        <sz val="11"/>
        <color theme="1"/>
        <rFont val="Calibri"/>
        <family val="2"/>
        <scheme val="minor"/>
      </rPr>
      <t xml:space="preserve"> (US 18.2 AC 10):
- Compute isFormValid: true only when condition name, monitoring type (plus custom specification if "Other..."), frequency (plus numeric interval/unit if "Custom..."), and doctor provider are all non-empty.
- Keep the primary "Save" button visually disabled (opacity-50) and untappable (disabled={!isFormValid}) until validation passes.
- When clicked, trigger callback onSave(formData) to open the confirmation modal.</t>
    </r>
  </si>
  <si>
    <r>
      <rPr>
        <b/>
        <sz val="11"/>
        <color theme="1"/>
        <rFont val="Calibri"/>
        <family val="2"/>
        <scheme val="minor"/>
      </rPr>
      <t xml:space="preserve">Automated Jest Test Suite for Specific Conditions Trigger, Conditional Form Inputs, Modals &amp; Outcome Badges
</t>
    </r>
    <r>
      <rPr>
        <sz val="11"/>
        <color theme="1"/>
        <rFont val="Calibri"/>
        <family val="2"/>
        <scheme val="minor"/>
      </rPr>
      <t xml:space="preserve">1. Create </t>
    </r>
    <r>
      <rPr>
        <b/>
        <sz val="11"/>
        <color theme="1"/>
        <rFont val="Calibri"/>
        <family val="2"/>
        <scheme val="minor"/>
      </rPr>
      <t xml:space="preserve">checkupp-mobile/tests/screenings/specificConditionsLifecycle.test.js
</t>
    </r>
    <r>
      <rPr>
        <sz val="11"/>
        <color theme="1"/>
        <rFont val="Calibri"/>
        <family val="2"/>
        <scheme val="minor"/>
      </rPr>
      <t xml:space="preserve">2. Configure Jest + </t>
    </r>
    <r>
      <rPr>
        <b/>
        <sz val="11"/>
        <color theme="1"/>
        <rFont val="Calibri"/>
        <family val="2"/>
        <scheme val="minor"/>
      </rPr>
      <t>@testing-library/react-native</t>
    </r>
    <r>
      <rPr>
        <sz val="11"/>
        <color theme="1"/>
        <rFont val="Calibri"/>
        <family val="2"/>
        <scheme val="minor"/>
      </rPr>
      <t xml:space="preserve"> with mocked Expo Router and TanStack Query.
3. </t>
    </r>
    <r>
      <rPr>
        <b/>
        <sz val="11"/>
        <color theme="1"/>
        <rFont val="Calibri"/>
        <family val="2"/>
        <scheme val="minor"/>
      </rPr>
      <t>Test Case 1</t>
    </r>
    <r>
      <rPr>
        <sz val="11"/>
        <color theme="1"/>
        <rFont val="Calibri"/>
        <family val="2"/>
        <scheme val="minor"/>
      </rPr>
      <t xml:space="preserve"> (Trigger Card &amp; Subtext - US 18.1):Assert "Specific Conditions" card renders exact subtext "Uncommon, rare and specific conditions to me" and + icon.
3. </t>
    </r>
    <r>
      <rPr>
        <b/>
        <sz val="11"/>
        <color theme="1"/>
        <rFont val="Calibri"/>
        <family val="2"/>
        <scheme val="minor"/>
      </rPr>
      <t>Test Case 2</t>
    </r>
    <r>
      <rPr>
        <sz val="11"/>
        <color theme="1"/>
        <rFont val="Calibri"/>
        <family val="2"/>
        <scheme val="minor"/>
      </rPr>
      <t xml:space="preserve"> (Conditional Form Inputs &amp; Validation - US 18.2):Open bottom sheet. Select "Other..." monitoring -&gt; verify free-text specification field appears.Select "Custom..." frequency -&gt; verify numeric stepper chevrons and unit dropdown appear.Assert "Save" button is disabled until all required fields contain text.
4. </t>
    </r>
    <r>
      <rPr>
        <b/>
        <sz val="11"/>
        <color theme="1"/>
        <rFont val="Calibri"/>
        <family val="2"/>
        <scheme val="minor"/>
      </rPr>
      <t>Test Case 3</t>
    </r>
    <r>
      <rPr>
        <sz val="11"/>
        <color theme="1"/>
        <rFont val="Calibri"/>
        <family val="2"/>
        <scheme val="minor"/>
      </rPr>
      <t xml:space="preserve"> (Summary Confirmation &amp; Back to Editing - US 18.3):Fill valid form and click Save. Verify summary modal displays matching data.Click "Back to Editing" -&gt; assert summary modal closes and bottom sheet form inputs retain typed text.
5. </t>
    </r>
    <r>
      <rPr>
        <b/>
        <sz val="11"/>
        <color theme="1"/>
        <rFont val="Calibri"/>
        <family val="2"/>
        <scheme val="minor"/>
      </rPr>
      <t>Test Case 4</t>
    </r>
    <r>
      <rPr>
        <sz val="11"/>
        <color theme="1"/>
        <rFont val="Calibri"/>
        <family val="2"/>
        <scheme val="minor"/>
      </rPr>
      <t xml:space="preserve"> (Card Styling &amp; Green Outcome Pill Badge - US 18.4, 18.5):Render CustomConditionCard with mock latestRecordDate: "2026-08-02T00:00:00.000Z".Assert green pill badge is rendered with exact text "Last: 02 Aug 2026" and #15803D green text class.
6. </t>
    </r>
    <r>
      <rPr>
        <b/>
        <sz val="11"/>
        <color theme="1"/>
        <rFont val="Calibri"/>
        <family val="2"/>
        <scheme val="minor"/>
      </rPr>
      <t>Test Case 5</t>
    </r>
    <r>
      <rPr>
        <sz val="11"/>
        <color theme="1"/>
        <rFont val="Calibri"/>
        <family val="2"/>
        <scheme val="minor"/>
      </rPr>
      <t xml:space="preserve"> (Decision Modal &amp; Booking Navigation - US 18.4):Simulate tap on custom condition card -&gt; assert "Have you had this screening?" decision modal opens.Click "No" -&gt;assert appointment booking flow is invoked. Click "Yes" -&gt; assert LogSpecificConditionModal is invoked.</t>
    </r>
  </si>
  <si>
    <r>
      <rPr>
        <b/>
        <sz val="11"/>
        <color theme="1"/>
        <rFont val="Calibri"/>
        <family val="2"/>
        <scheme val="minor"/>
      </rPr>
      <t>Build LogSpecificConditionModal.tsx Full-Screen Outcome Form &amp; Wire Save Mutation</t>
    </r>
    <r>
      <rPr>
        <sz val="11"/>
        <color theme="1"/>
        <rFont val="Calibri"/>
        <family val="2"/>
        <scheme val="minor"/>
      </rPr>
      <t xml:space="preserve">
1. Create </t>
    </r>
    <r>
      <rPr>
        <b/>
        <sz val="11"/>
        <color theme="1"/>
        <rFont val="Calibri"/>
        <family val="2"/>
        <scheme val="minor"/>
      </rPr>
      <t>checkupp-mobile/components/screening/LogSpecificConditionModal.tsx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 xml:space="preserve">checkupp-mobile/lib/features/screenings/mutations.ts
</t>
    </r>
    <r>
      <rPr>
        <sz val="11"/>
        <color theme="1"/>
        <rFont val="Calibri"/>
        <family val="2"/>
        <scheme val="minor"/>
      </rPr>
      <t xml:space="preserve">2. </t>
    </r>
    <r>
      <rPr>
        <b/>
        <sz val="11"/>
        <color theme="1"/>
        <rFont val="Calibri"/>
        <family val="2"/>
        <scheme val="minor"/>
      </rPr>
      <t>Full-Screen Modal Scaffold</t>
    </r>
    <r>
      <rPr>
        <sz val="11"/>
        <color theme="1"/>
        <rFont val="Calibri"/>
        <family val="2"/>
        <scheme val="minor"/>
      </rPr>
      <t xml:space="preserve"> (US 18.5 AC 1):
- Build full-screen modal view with header displaying read-only metadata: condition name, monitoring type, frequency, and care provider.
3. </t>
    </r>
    <r>
      <rPr>
        <b/>
        <sz val="11"/>
        <color theme="1"/>
        <rFont val="Calibri"/>
        <family val="2"/>
        <scheme val="minor"/>
      </rPr>
      <t>Form Input Components</t>
    </r>
    <r>
      <rPr>
        <sz val="11"/>
        <color theme="1"/>
        <rFont val="Calibri"/>
        <family val="2"/>
        <scheme val="minor"/>
      </rPr>
      <t xml:space="preserve"> (US 18.5 AC 2, 3, 4):
- Date of Check: Use DatePickerInput.tsx defaulting to current system date (new Date()). Allow user selection up to current date.
- Outcome or Clinical Notes: Spacious multi-line free-text area (InputField.tsx with multiline={true} and numberOfLines={4}).
4. </t>
    </r>
    <r>
      <rPr>
        <b/>
        <sz val="11"/>
        <color theme="1"/>
        <rFont val="Calibri"/>
        <family val="2"/>
        <scheme val="minor"/>
      </rPr>
      <t>CTA Buttons &amp; Workflow</t>
    </r>
    <r>
      <rPr>
        <sz val="11"/>
        <color theme="1"/>
        <rFont val="Calibri"/>
        <family val="2"/>
        <scheme val="minor"/>
      </rPr>
      <t xml:space="preserve"> (US 18.5 AC 4, 5, 6):
- </t>
    </r>
    <r>
      <rPr>
        <b/>
        <sz val="11"/>
        <color theme="1"/>
        <rFont val="Calibri"/>
        <family val="2"/>
        <scheme val="minor"/>
      </rPr>
      <t>Sticky footer</t>
    </r>
    <r>
      <rPr>
        <sz val="11"/>
        <color theme="1"/>
        <rFont val="Calibri"/>
        <family val="2"/>
        <scheme val="minor"/>
      </rPr>
      <t xml:space="preserve"> with two buttons:
a. </t>
    </r>
    <r>
      <rPr>
        <b/>
        <sz val="11"/>
        <color theme="1"/>
        <rFont val="Calibri"/>
        <family val="2"/>
        <scheme val="minor"/>
      </rPr>
      <t>Secondary</t>
    </r>
    <r>
      <rPr>
        <sz val="11"/>
        <color theme="1"/>
        <rFont val="Calibri"/>
        <family val="2"/>
        <scheme val="minor"/>
      </rPr>
      <t xml:space="preserve">: Cancel: Tapping closes modal and returns user to Available Health Checks - Health Checks top tab - Screenings bottom tab with zero data persistence.
b. </t>
    </r>
    <r>
      <rPr>
        <b/>
        <sz val="11"/>
        <color theme="1"/>
        <rFont val="Calibri"/>
        <family val="2"/>
        <scheme val="minor"/>
      </rPr>
      <t>Primary</t>
    </r>
    <r>
      <rPr>
        <sz val="11"/>
        <color theme="1"/>
        <rFont val="Calibri"/>
        <family val="2"/>
        <scheme val="minor"/>
      </rPr>
      <t>: Save: Tapping executes useLogCustomConditionRecordMutation({ customConditionId, checkDate, outcomeNotes }).
- Upon success, invalidate query ['screenings', 'custom-conditions'], close full-screen modal, return user to Health Checks list, and confirm the card now displays the green "Last: [Today's Logging Date]" pill badge.</t>
    </r>
  </si>
  <si>
    <t>18.4, 18.5</t>
  </si>
  <si>
    <r>
      <rPr>
        <b/>
        <sz val="11"/>
        <color theme="1"/>
        <rFont val="Calibri"/>
        <family val="2"/>
        <scheme val="minor"/>
      </rPr>
      <t>Integrate Custom Condition List Rendering &amp; Wire Existing Decision Modal ("Have you had this screening?")</t>
    </r>
    <r>
      <rPr>
        <sz val="11"/>
        <color theme="1"/>
        <rFont val="Calibri"/>
        <family val="2"/>
        <scheme val="minor"/>
      </rPr>
      <t xml:space="preserve">
1. Modify </t>
    </r>
    <r>
      <rPr>
        <b/>
        <sz val="11"/>
        <color theme="1"/>
        <rFont val="Calibri"/>
        <family val="2"/>
        <scheme val="minor"/>
      </rPr>
      <t>checkupp-mobile/app/(tabs)/health-screening.tsx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checkupp-mobile/lib/features/screenings/queries.ts
2. Data Query &amp; List Rendering</t>
    </r>
    <r>
      <rPr>
        <sz val="11"/>
        <color theme="1"/>
        <rFont val="Calibri"/>
        <family val="2"/>
        <scheme val="minor"/>
      </rPr>
      <t xml:space="preserve">:
- Implement useCustomConditionsQuery(userId) in queries.ts fetching GET /me/screenings/custom-conditions.
- In health-screening.tsx, merge/render CustomConditionCard components inside the "Available Health Checks" FlatList directly below the trigger card.
3. </t>
    </r>
    <r>
      <rPr>
        <b/>
        <sz val="11"/>
        <color theme="1"/>
        <rFont val="Calibri"/>
        <family val="2"/>
        <scheme val="minor"/>
      </rPr>
      <t>Wire Decision Modal</t>
    </r>
    <r>
      <rPr>
        <sz val="11"/>
        <color theme="1"/>
        <rFont val="Calibri"/>
        <family val="2"/>
        <scheme val="minor"/>
      </rPr>
      <t xml:space="preserve"> (US 18.4 AC 4–7):
- When CustomConditionCard is tapped (onPress), open the app's existing ScreeningDecisionModal ("Have you had this screening?").
- Pass the custom condition name as subtitle.
- On "</t>
    </r>
    <r>
      <rPr>
        <b/>
        <sz val="11"/>
        <color theme="1"/>
        <rFont val="Calibri"/>
        <family val="2"/>
        <scheme val="minor"/>
      </rPr>
      <t>Yes</t>
    </r>
    <r>
      <rPr>
        <sz val="11"/>
        <color theme="1"/>
        <rFont val="Calibri"/>
        <family val="2"/>
        <scheme val="minor"/>
      </rPr>
      <t>" tap (AC 6): Close decision modal and open LogSpecificConditionModal (FE-18.6) passing customConditionId and metadata.
- On "</t>
    </r>
    <r>
      <rPr>
        <b/>
        <sz val="11"/>
        <color theme="1"/>
        <rFont val="Calibri"/>
        <family val="2"/>
        <scheme val="minor"/>
      </rPr>
      <t>No</t>
    </r>
    <r>
      <rPr>
        <sz val="11"/>
        <color theme="1"/>
        <rFont val="Calibri"/>
        <family val="2"/>
        <scheme val="minor"/>
      </rPr>
      <t>" tap (AC 7): Close decision modal and open the app's existing appointment booking modal (bookingFlow.ts).</t>
    </r>
  </si>
  <si>
    <r>
      <t xml:space="preserve">Build Reusable CustomConditionCard.tsx Component with Distinctive Styling &amp; Green "Last: [Date]" Pill Badge
1. Create </t>
    </r>
    <r>
      <rPr>
        <b/>
        <sz val="11"/>
        <color theme="1"/>
        <rFont val="Calibri"/>
        <family val="2"/>
        <scheme val="minor"/>
      </rPr>
      <t>checkupp-mobile/components/screening/CustomConditionCard.tsx</t>
    </r>
    <r>
      <rPr>
        <sz val="11"/>
        <color theme="1"/>
        <rFont val="Calibri"/>
        <family val="2"/>
        <scheme val="minor"/>
      </rPr>
      <t xml:space="preserve">
2. </t>
    </r>
    <r>
      <rPr>
        <b/>
        <sz val="11"/>
        <color theme="1"/>
        <rFont val="Calibri"/>
        <family val="2"/>
        <scheme val="minor"/>
      </rPr>
      <t>Props Interface</t>
    </r>
    <r>
      <rPr>
        <sz val="11"/>
        <color theme="1"/>
        <rFont val="Calibri"/>
        <family val="2"/>
        <scheme val="minor"/>
      </rPr>
      <t xml:space="preserve">:
TypeScript
export interface CustomConditionCardProps {
  item: CustomConditionItem;
  onPress: (item: CustomConditionItem) =&gt; void;
}
3. </t>
    </r>
    <r>
      <rPr>
        <b/>
        <sz val="11"/>
        <color theme="1"/>
        <rFont val="Calibri"/>
        <family val="2"/>
        <scheme val="minor"/>
      </rPr>
      <t>Distinctive Custom Styling</t>
    </r>
    <r>
      <rPr>
        <sz val="11"/>
        <color theme="1"/>
        <rFont val="Calibri"/>
        <family val="2"/>
        <scheme val="minor"/>
      </rPr>
      <t xml:space="preserve"> (US 18.4 AC 1, 2, 3):
- Apply visual distinction from default system screenings while keeping structural layout identical: use a subtle teal/cyan border accent (border-l-4 border-l-[#00CED1] bg-white rounded-xl border border-gray-100 p-4 mb-3).
- Display condition Name (item.conditionName) in Poppins-Medium and frequency (item.frequencyType, formatting custom interval if applicable, e.g., "Every 45 Days") as subtitle.
- Display chevron-forward icon from @expo/vector-icons/Ionicons on the far right.
4.  </t>
    </r>
    <r>
      <rPr>
        <b/>
        <sz val="11"/>
        <color theme="1"/>
        <rFont val="Calibri"/>
        <family val="2"/>
        <scheme val="minor"/>
      </rPr>
      <t>Green Outcome Pill Badge Support</t>
    </r>
    <r>
      <rPr>
        <sz val="11"/>
        <color theme="1"/>
        <rFont val="Calibri"/>
        <family val="2"/>
        <scheme val="minor"/>
      </rPr>
      <t xml:space="preserve"> (US 18.5 AC 6):
- If item.latestRecordDate exists, render a soft green pill badge in the top-right corner of the card:
a. Background #DCFCE7 (bg-green-100), text #15803D (text-green-800 text-xs font-psemibold px-2.5 py-1 rounded-full).
b. Format string exactly as mandated: "Last: [Today's Logging Date]" (e.g., format(new Date(item.latestRecordDate), "'Last:' dd MMM yyyy")).</t>
    </r>
  </si>
  <si>
    <r>
      <rPr>
        <b/>
        <sz val="11"/>
        <color theme="1"/>
        <rFont val="Calibri"/>
        <family val="2"/>
        <scheme val="minor"/>
      </rPr>
      <t>Build ConfirmSpecificConditionModal.tsx Summary Dialog &amp; Connect TanStack Query Submission Mutation</t>
    </r>
    <r>
      <rPr>
        <sz val="11"/>
        <color theme="1"/>
        <rFont val="Calibri"/>
        <family val="2"/>
        <scheme val="minor"/>
      </rPr>
      <t xml:space="preserve">
1. Create </t>
    </r>
    <r>
      <rPr>
        <b/>
        <sz val="11"/>
        <color theme="1"/>
        <rFont val="Calibri"/>
        <family val="2"/>
        <scheme val="minor"/>
      </rPr>
      <t>checkupp-mobile/components/screening/ConfirmSpecificConditionModal.tsx</t>
    </r>
    <r>
      <rPr>
        <sz val="11"/>
        <color theme="1"/>
        <rFont val="Calibri"/>
        <family val="2"/>
        <scheme val="minor"/>
      </rPr>
      <t xml:space="preserve">, Modify </t>
    </r>
    <r>
      <rPr>
        <b/>
        <sz val="11"/>
        <color theme="1"/>
        <rFont val="Calibri"/>
        <family val="2"/>
        <scheme val="minor"/>
      </rPr>
      <t xml:space="preserve">checkupp-mobile/lib/features/screenings/mutations.ts
</t>
    </r>
    <r>
      <rPr>
        <sz val="11"/>
        <color theme="1"/>
        <rFont val="Calibri"/>
        <family val="2"/>
        <scheme val="minor"/>
      </rPr>
      <t xml:space="preserve">2. </t>
    </r>
    <r>
      <rPr>
        <b/>
        <sz val="11"/>
        <color theme="1"/>
        <rFont val="Calibri"/>
        <family val="2"/>
        <scheme val="minor"/>
      </rPr>
      <t>TanStack Query Mutation</t>
    </r>
    <r>
      <rPr>
        <sz val="11"/>
        <color theme="1"/>
        <rFont val="Calibri"/>
        <family val="2"/>
        <scheme val="minor"/>
      </rPr>
      <t xml:space="preserve"> (mutations.ts):
- Implement useCreateCustomConditionMutation() calling apiClient.post('/me/screenings/custom-conditions', payload).
- On success, invalidate query key ['screenings', 'custom-conditions'] and ['screenings', 'overview'].
3. </t>
    </r>
    <r>
      <rPr>
        <b/>
        <sz val="11"/>
        <color theme="1"/>
        <rFont val="Calibri"/>
        <family val="2"/>
        <scheme val="minor"/>
      </rPr>
      <t>Build Confirmation Modal</t>
    </r>
    <r>
      <rPr>
        <sz val="11"/>
        <color theme="1"/>
        <rFont val="Calibri"/>
        <family val="2"/>
        <scheme val="minor"/>
      </rPr>
      <t xml:space="preserve"> (ConfirmSpecificConditionModal.tsx):
- Render a centered popup modal displaying a clear summary of all entered fields: Condition Name, Monitoring Type, Frequency, and Care Provider.
- Render two accessible CTA buttons (US 18.3 AC 3–5):
a. </t>
    </r>
    <r>
      <rPr>
        <b/>
        <sz val="11"/>
        <color theme="1"/>
        <rFont val="Calibri"/>
        <family val="2"/>
        <scheme val="minor"/>
      </rPr>
      <t>Primary</t>
    </r>
    <r>
      <rPr>
        <sz val="11"/>
        <color theme="1"/>
        <rFont val="Calibri"/>
        <family val="2"/>
        <scheme val="minor"/>
      </rPr>
      <t xml:space="preserve"> Button: "Submit" (solid #00CED1 background). Clicking triggers mutate(formData). On success, close both the summary modal and bottom sheet, adding the new card to the list.
b. </t>
    </r>
    <r>
      <rPr>
        <b/>
        <sz val="11"/>
        <color theme="1"/>
        <rFont val="Calibri"/>
        <family val="2"/>
        <scheme val="minor"/>
      </rPr>
      <t>Secondary</t>
    </r>
    <r>
      <rPr>
        <sz val="11"/>
        <color theme="1"/>
        <rFont val="Calibri"/>
        <family val="2"/>
        <scheme val="minor"/>
      </rPr>
      <t xml:space="preserve"> Button: "Back to Editing" (outlined button). Clicking closes ConfirmSpecificConditionModal while keeping AddSpecificConditionModal open with all form state preserved intact.</t>
    </r>
  </si>
  <si>
    <t>Needs Review</t>
  </si>
  <si>
    <t>Date</t>
  </si>
  <si>
    <t>View Upcoming Screenings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</si>
</sst>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 tint="4.9989318521683403E-2"/>
      <name val="Calibri"/>
      <family val="2"/>
      <scheme val="minor"/>
    </font>
    <font>
      <b/>
      <sz val="11"/>
      <color theme="1" tint="4.9989318521683403E-2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wrapText="1"/>
    </xf>
    <xf numFmtId="0" fontId="0" fillId="3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vertical="center" wrapText="1"/>
    </xf>
    <xf numFmtId="0" fontId="0" fillId="3" borderId="1" xfId="0" applyFill="1" applyBorder="1" applyAlignment="1">
      <alignment horizontal="left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left" vertical="center" wrapText="1"/>
    </xf>
    <xf numFmtId="14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Burndown</a:t>
            </a:r>
            <a:r>
              <a:rPr lang="en-IN" baseline="0"/>
              <a:t> Chart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'Sprint 01 Burndown'!$C$1</c:f>
              <c:strCache>
                <c:ptCount val="1"/>
                <c:pt idx="0">
                  <c:v>Actual Story Points Left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'Sprint 01 Burndown'!$B$2:$B$10</c:f>
              <c:numCache>
                <c:formatCode>m/d/yyyy</c:formatCode>
                <c:ptCount val="9"/>
                <c:pt idx="0">
                  <c:v>46237</c:v>
                </c:pt>
                <c:pt idx="1">
                  <c:v>46238</c:v>
                </c:pt>
                <c:pt idx="2">
                  <c:v>46239</c:v>
                </c:pt>
                <c:pt idx="3">
                  <c:v>46240</c:v>
                </c:pt>
                <c:pt idx="4">
                  <c:v>46241</c:v>
                </c:pt>
                <c:pt idx="5">
                  <c:v>46244</c:v>
                </c:pt>
                <c:pt idx="6">
                  <c:v>46245</c:v>
                </c:pt>
                <c:pt idx="7">
                  <c:v>46246</c:v>
                </c:pt>
                <c:pt idx="8">
                  <c:v>46247</c:v>
                </c:pt>
              </c:numCache>
            </c:numRef>
          </c:cat>
          <c:val>
            <c:numRef>
              <c:f>'Sprint 01 Burndown'!$C$2:$C$10</c:f>
              <c:numCache>
                <c:formatCode>General</c:formatCode>
                <c:ptCount val="9"/>
                <c:pt idx="0">
                  <c:v>82</c:v>
                </c:pt>
                <c:pt idx="1">
                  <c:v>74</c:v>
                </c:pt>
                <c:pt idx="2">
                  <c:v>66</c:v>
                </c:pt>
                <c:pt idx="3">
                  <c:v>66</c:v>
                </c:pt>
                <c:pt idx="4">
                  <c:v>66</c:v>
                </c:pt>
                <c:pt idx="5">
                  <c:v>66</c:v>
                </c:pt>
                <c:pt idx="6">
                  <c:v>66</c:v>
                </c:pt>
                <c:pt idx="7">
                  <c:v>66</c:v>
                </c:pt>
                <c:pt idx="8">
                  <c:v>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3A3-4D70-A15D-11D521EE13C6}"/>
            </c:ext>
          </c:extLst>
        </c:ser>
        <c:ser>
          <c:idx val="1"/>
          <c:order val="1"/>
          <c:tx>
            <c:strRef>
              <c:f>'Sprint 01 Burndown'!$D$1</c:f>
              <c:strCache>
                <c:ptCount val="1"/>
                <c:pt idx="0">
                  <c:v>Expected Story Points Left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'Sprint 01 Burndown'!$B$2:$B$10</c:f>
              <c:numCache>
                <c:formatCode>m/d/yyyy</c:formatCode>
                <c:ptCount val="9"/>
                <c:pt idx="0">
                  <c:v>46237</c:v>
                </c:pt>
                <c:pt idx="1">
                  <c:v>46238</c:v>
                </c:pt>
                <c:pt idx="2">
                  <c:v>46239</c:v>
                </c:pt>
                <c:pt idx="3">
                  <c:v>46240</c:v>
                </c:pt>
                <c:pt idx="4">
                  <c:v>46241</c:v>
                </c:pt>
                <c:pt idx="5">
                  <c:v>46244</c:v>
                </c:pt>
                <c:pt idx="6">
                  <c:v>46245</c:v>
                </c:pt>
                <c:pt idx="7">
                  <c:v>46246</c:v>
                </c:pt>
                <c:pt idx="8">
                  <c:v>46247</c:v>
                </c:pt>
              </c:numCache>
            </c:numRef>
          </c:cat>
          <c:val>
            <c:numRef>
              <c:f>'Sprint 01 Burndown'!$D$2:$D$10</c:f>
              <c:numCache>
                <c:formatCode>General</c:formatCode>
                <c:ptCount val="9"/>
                <c:pt idx="0">
                  <c:v>82</c:v>
                </c:pt>
                <c:pt idx="1">
                  <c:v>71.75</c:v>
                </c:pt>
                <c:pt idx="2">
                  <c:v>61.5</c:v>
                </c:pt>
                <c:pt idx="3">
                  <c:v>51.25</c:v>
                </c:pt>
                <c:pt idx="4">
                  <c:v>41</c:v>
                </c:pt>
                <c:pt idx="5">
                  <c:v>30.75</c:v>
                </c:pt>
                <c:pt idx="6">
                  <c:v>20.5</c:v>
                </c:pt>
                <c:pt idx="7">
                  <c:v>10.25</c:v>
                </c:pt>
                <c:pt idx="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3A3-4D70-A15D-11D521EE13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8576623"/>
        <c:axId val="228581423"/>
      </c:lineChart>
      <c:dateAx>
        <c:axId val="228576623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8581423"/>
        <c:crosses val="autoZero"/>
        <c:auto val="0"/>
        <c:lblOffset val="100"/>
        <c:baseTimeUnit val="days"/>
      </c:dateAx>
      <c:valAx>
        <c:axId val="228581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85766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167640</xdr:colOff>
      <xdr:row>0</xdr:row>
      <xdr:rowOff>182880</xdr:rowOff>
    </xdr:from>
    <xdr:to>
      <xdr:col>21</xdr:col>
      <xdr:colOff>36990</xdr:colOff>
      <xdr:row>20</xdr:row>
      <xdr:rowOff>7398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4606402-996D-6CA4-C8E9-5276D0F88F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12"/>
  <sheetViews>
    <sheetView zoomScale="82" zoomScaleNormal="82" workbookViewId="0">
      <pane ySplit="1" topLeftCell="A8" activePane="bottomLeft" state="frozen"/>
      <selection pane="bottomLeft" activeCell="F8" sqref="F8"/>
    </sheetView>
  </sheetViews>
  <sheetFormatPr defaultColWidth="8.88671875" defaultRowHeight="14.4" x14ac:dyDescent="0.3"/>
  <cols>
    <col min="1" max="1" width="6.88671875" style="12" customWidth="1"/>
    <col min="2" max="2" width="14.33203125" style="12" customWidth="1"/>
    <col min="3" max="3" width="13.21875" style="12" bestFit="1" customWidth="1"/>
    <col min="4" max="4" width="17.6640625" style="12" bestFit="1" customWidth="1"/>
    <col min="5" max="5" width="13.5546875" style="12" bestFit="1" customWidth="1"/>
    <col min="6" max="6" width="52.6640625" style="13" customWidth="1"/>
    <col min="7" max="7" width="12.109375" style="12" bestFit="1" customWidth="1"/>
    <col min="8" max="8" width="12.88671875" style="12" bestFit="1" customWidth="1"/>
    <col min="9" max="9" width="11.33203125" style="12" bestFit="1" customWidth="1"/>
    <col min="10" max="10" width="6.77734375" style="12" bestFit="1" customWidth="1"/>
    <col min="11" max="11" width="15.5546875" style="12" bestFit="1" customWidth="1"/>
    <col min="12" max="12" width="10.44140625" style="12" bestFit="1" customWidth="1"/>
    <col min="13" max="16384" width="8.88671875" style="12"/>
  </cols>
  <sheetData>
    <row r="1" spans="1:12" s="11" customFormat="1" ht="30" customHeight="1" x14ac:dyDescent="0.3">
      <c r="A1" s="6" t="s">
        <v>11</v>
      </c>
      <c r="B1" s="6" t="s">
        <v>0</v>
      </c>
      <c r="C1" s="6" t="s">
        <v>1</v>
      </c>
      <c r="D1" s="6" t="s">
        <v>2</v>
      </c>
      <c r="E1" s="6" t="s">
        <v>10</v>
      </c>
      <c r="F1" s="6" t="s">
        <v>3</v>
      </c>
      <c r="G1" s="6" t="s">
        <v>4</v>
      </c>
      <c r="H1" s="6" t="s">
        <v>8</v>
      </c>
      <c r="I1" s="6" t="s">
        <v>9</v>
      </c>
      <c r="J1" s="6" t="s">
        <v>5</v>
      </c>
      <c r="K1" s="6" t="s">
        <v>6</v>
      </c>
      <c r="L1" s="6" t="s">
        <v>7</v>
      </c>
    </row>
    <row r="2" spans="1:12" ht="49.2" customHeight="1" x14ac:dyDescent="0.3">
      <c r="A2" s="8">
        <v>1</v>
      </c>
      <c r="B2" s="8" t="s">
        <v>27</v>
      </c>
      <c r="C2" s="8">
        <v>0.1</v>
      </c>
      <c r="D2" s="8" t="s">
        <v>34</v>
      </c>
      <c r="E2" s="8" t="s">
        <v>16</v>
      </c>
      <c r="F2" s="10" t="s">
        <v>17</v>
      </c>
      <c r="G2" s="8" t="s">
        <v>18</v>
      </c>
      <c r="H2" s="8" t="s">
        <v>19</v>
      </c>
      <c r="I2" s="8" cm="1">
        <f t="array" ref="I2">_xlfn.SWITCH(H2,"XS",1,"S",2,"M",3,"L",5,"XL",8,"XXL",13,"XXXL",21,"")</f>
        <v>1</v>
      </c>
      <c r="J2" s="8" t="s">
        <v>20</v>
      </c>
      <c r="K2" s="8"/>
      <c r="L2" s="8"/>
    </row>
    <row r="3" spans="1:12" ht="408.6" customHeight="1" x14ac:dyDescent="0.3">
      <c r="A3" s="8">
        <v>2</v>
      </c>
      <c r="B3" s="8" t="s">
        <v>26</v>
      </c>
      <c r="C3" s="8">
        <v>1.1000000000000001</v>
      </c>
      <c r="D3" s="8" t="s">
        <v>33</v>
      </c>
      <c r="E3" s="8" t="s">
        <v>21</v>
      </c>
      <c r="F3" s="10" t="s">
        <v>39</v>
      </c>
      <c r="G3" s="8" t="s">
        <v>22</v>
      </c>
      <c r="H3" s="8" t="s">
        <v>24</v>
      </c>
      <c r="I3" s="8" cm="1">
        <f t="array" ref="I3">_xlfn.SWITCH(H3,"XS",1,"S",2,"M",3,"L",5,"XL",8,"XXL",13,"XXXL",21,"")</f>
        <v>2</v>
      </c>
      <c r="J3" s="8" t="s">
        <v>20</v>
      </c>
      <c r="K3" s="8"/>
      <c r="L3" s="8"/>
    </row>
    <row r="4" spans="1:12" ht="408.6" customHeight="1" x14ac:dyDescent="0.3">
      <c r="A4" s="8">
        <v>3</v>
      </c>
      <c r="B4" s="8" t="s">
        <v>26</v>
      </c>
      <c r="C4" s="8" t="s">
        <v>45</v>
      </c>
      <c r="D4" s="8" t="s">
        <v>35</v>
      </c>
      <c r="E4" s="8" t="s">
        <v>23</v>
      </c>
      <c r="F4" s="10" t="s">
        <v>44</v>
      </c>
      <c r="G4" s="8" t="s">
        <v>25</v>
      </c>
      <c r="H4" s="8" t="s">
        <v>19</v>
      </c>
      <c r="I4" s="8" cm="1">
        <f t="array" ref="I4">_xlfn.SWITCH(H4,"XS",1,"S",2,"M",3,"L",5,"XL",8,"XXL",13,"XXXL",21,"")</f>
        <v>1</v>
      </c>
      <c r="J4" s="8" t="s">
        <v>20</v>
      </c>
      <c r="K4" s="8"/>
      <c r="L4" s="8"/>
    </row>
    <row r="5" spans="1:12" ht="408.6" customHeight="1" x14ac:dyDescent="0.3">
      <c r="A5" s="8">
        <v>4</v>
      </c>
      <c r="B5" s="8" t="s">
        <v>26</v>
      </c>
      <c r="C5" s="8" t="s">
        <v>45</v>
      </c>
      <c r="D5" s="8" t="s">
        <v>36</v>
      </c>
      <c r="E5" s="8" t="s">
        <v>23</v>
      </c>
      <c r="F5" s="10" t="s">
        <v>46</v>
      </c>
      <c r="G5" s="8" t="s">
        <v>25</v>
      </c>
      <c r="H5" s="8" t="s">
        <v>31</v>
      </c>
      <c r="I5" s="8" cm="1">
        <f t="array" ref="I5">_xlfn.SWITCH(H5,"XS",1,"S",2,"M",3,"L",5,"XL",8,"XXL",13,"XXXL",21,"")</f>
        <v>5</v>
      </c>
      <c r="J5" s="8" t="s">
        <v>20</v>
      </c>
      <c r="K5" s="8"/>
      <c r="L5" s="8"/>
    </row>
    <row r="6" spans="1:12" ht="331.2" x14ac:dyDescent="0.3">
      <c r="A6" s="8">
        <v>5</v>
      </c>
      <c r="B6" s="8"/>
      <c r="C6" s="8">
        <v>1.6</v>
      </c>
      <c r="D6" s="8"/>
      <c r="E6" s="8" t="s">
        <v>23</v>
      </c>
      <c r="F6" s="10" t="s">
        <v>47</v>
      </c>
      <c r="G6" s="8" t="s">
        <v>25</v>
      </c>
      <c r="H6" s="8" t="s">
        <v>31</v>
      </c>
      <c r="I6" s="8" cm="1">
        <f t="array" ref="I6">_xlfn.SWITCH(H6,"XS",1,"S",2,"M",3,"L",5,"XL",8,"XXL",13,"XXXL",21,"")</f>
        <v>5</v>
      </c>
      <c r="J6" s="8"/>
      <c r="K6" s="8"/>
      <c r="L6" s="8"/>
    </row>
    <row r="7" spans="1:12" ht="272.39999999999998" customHeight="1" x14ac:dyDescent="0.3">
      <c r="A7" s="8">
        <v>6</v>
      </c>
      <c r="B7" s="8" t="s">
        <v>26</v>
      </c>
      <c r="C7" s="8" t="s">
        <v>43</v>
      </c>
      <c r="D7" s="8" t="s">
        <v>37</v>
      </c>
      <c r="E7" s="8" t="s">
        <v>32</v>
      </c>
      <c r="F7" s="10" t="s">
        <v>48</v>
      </c>
      <c r="G7" s="8" t="s">
        <v>30</v>
      </c>
      <c r="H7" s="8" t="s">
        <v>28</v>
      </c>
      <c r="I7" s="8" cm="1">
        <f t="array" ref="I7">_xlfn.SWITCH(H7,"XS",1,"S",2,"M",3,"L",5,"XL",8,"XXL",13,"XXXL",21,"")</f>
        <v>3</v>
      </c>
      <c r="J7" s="8" t="s">
        <v>20</v>
      </c>
      <c r="K7" s="8"/>
      <c r="L7" s="8"/>
    </row>
    <row r="8" spans="1:12" ht="409.6" x14ac:dyDescent="0.3">
      <c r="A8" s="8">
        <v>7</v>
      </c>
      <c r="B8" s="8" t="s">
        <v>26</v>
      </c>
      <c r="C8" s="8" t="s">
        <v>42</v>
      </c>
      <c r="D8" s="8" t="s">
        <v>75</v>
      </c>
      <c r="E8" s="8" t="s">
        <v>21</v>
      </c>
      <c r="F8" s="10" t="s">
        <v>49</v>
      </c>
      <c r="G8" s="8" t="s">
        <v>25</v>
      </c>
      <c r="H8" s="8" t="s">
        <v>28</v>
      </c>
      <c r="I8" s="8" cm="1">
        <f t="array" ref="I8">_xlfn.SWITCH(H8,"XS",1,"S",2,"M",3,"L",5,"XL",8,"XXL",13,"XXXL",21,"")</f>
        <v>3</v>
      </c>
      <c r="J8" s="8" t="s">
        <v>20</v>
      </c>
      <c r="K8" s="8"/>
      <c r="L8" s="8"/>
    </row>
    <row r="9" spans="1:12" ht="409.6" x14ac:dyDescent="0.3">
      <c r="A9" s="8">
        <v>8</v>
      </c>
      <c r="B9" s="8" t="s">
        <v>26</v>
      </c>
      <c r="C9" s="8" t="s">
        <v>41</v>
      </c>
      <c r="D9" s="8" t="s">
        <v>29</v>
      </c>
      <c r="E9" s="8" t="s">
        <v>21</v>
      </c>
      <c r="F9" s="10" t="s">
        <v>50</v>
      </c>
      <c r="G9" s="8" t="s">
        <v>30</v>
      </c>
      <c r="H9" s="8" t="s">
        <v>24</v>
      </c>
      <c r="I9" s="8" cm="1">
        <f t="array" ref="I9">_xlfn.SWITCH(H9,"XS",1,"S",2,"M",3,"L",5,"XL",8,"XXL",13,"XXXL",21,"")</f>
        <v>2</v>
      </c>
      <c r="J9" s="8" t="s">
        <v>20</v>
      </c>
      <c r="K9" s="8"/>
      <c r="L9" s="8"/>
    </row>
    <row r="10" spans="1:12" ht="396" customHeight="1" x14ac:dyDescent="0.3">
      <c r="A10" s="8">
        <v>9</v>
      </c>
      <c r="B10" s="8" t="s">
        <v>26</v>
      </c>
      <c r="C10" s="8" t="s">
        <v>40</v>
      </c>
      <c r="D10" s="8" t="s">
        <v>29</v>
      </c>
      <c r="E10" s="8" t="s">
        <v>21</v>
      </c>
      <c r="F10" s="10" t="s">
        <v>51</v>
      </c>
      <c r="G10" s="8" t="s">
        <v>30</v>
      </c>
      <c r="H10" s="8" t="s">
        <v>28</v>
      </c>
      <c r="I10" s="8" cm="1">
        <f t="array" ref="I10">_xlfn.SWITCH(H10,"XS",1,"S",2,"M",3,"L",5,"XL",8,"XXL",13,"XXXL",21,"")</f>
        <v>3</v>
      </c>
      <c r="J10" s="8" t="s">
        <v>20</v>
      </c>
      <c r="K10" s="8"/>
      <c r="L10" s="8"/>
    </row>
    <row r="11" spans="1:12" ht="409.6" x14ac:dyDescent="0.3">
      <c r="A11" s="8">
        <v>10</v>
      </c>
      <c r="B11" s="8" t="s">
        <v>26</v>
      </c>
      <c r="C11" s="8" t="s">
        <v>52</v>
      </c>
      <c r="D11" s="8" t="s">
        <v>38</v>
      </c>
      <c r="E11" s="8" t="s">
        <v>21</v>
      </c>
      <c r="F11" s="10" t="s">
        <v>53</v>
      </c>
      <c r="G11" s="8" t="s">
        <v>30</v>
      </c>
      <c r="H11" s="8" t="s">
        <v>31</v>
      </c>
      <c r="I11" s="8" cm="1">
        <f t="array" ref="I11">_xlfn.SWITCH(H11,"XS",1,"S",2,"M",3,"L",5,"XL",8,"XXL",13,"XXXL",21,"")</f>
        <v>5</v>
      </c>
      <c r="J11" s="8" t="s">
        <v>20</v>
      </c>
      <c r="K11" s="8"/>
      <c r="L11" s="8"/>
    </row>
    <row r="12" spans="1:12" ht="408.6" customHeight="1" x14ac:dyDescent="0.3">
      <c r="A12" s="8">
        <v>11</v>
      </c>
      <c r="B12" s="8"/>
      <c r="C12" s="8" t="s">
        <v>54</v>
      </c>
      <c r="D12" s="8"/>
      <c r="E12" s="8" t="s">
        <v>21</v>
      </c>
      <c r="F12" s="10" t="s">
        <v>55</v>
      </c>
      <c r="G12" s="8" t="s">
        <v>22</v>
      </c>
      <c r="H12" s="8" t="s">
        <v>28</v>
      </c>
      <c r="I12" s="8" cm="1">
        <f t="array" ref="I12">_xlfn.SWITCH(H12,"XS",1,"S",2,"M",3,"L",5,"XL",8,"XXL",13,"XXXL",21,"")</f>
        <v>3</v>
      </c>
      <c r="J12" s="8"/>
      <c r="K12" s="8"/>
      <c r="L12" s="8"/>
    </row>
    <row r="13" spans="1:12" ht="302.39999999999998" x14ac:dyDescent="0.3">
      <c r="A13" s="8">
        <v>12</v>
      </c>
      <c r="B13" s="8"/>
      <c r="C13" s="8">
        <v>1.8</v>
      </c>
      <c r="D13" s="8"/>
      <c r="E13" s="8" t="s">
        <v>21</v>
      </c>
      <c r="F13" s="10" t="s">
        <v>56</v>
      </c>
      <c r="G13" s="8" t="s">
        <v>30</v>
      </c>
      <c r="H13" s="8" t="s">
        <v>24</v>
      </c>
      <c r="I13" s="8" cm="1">
        <f t="array" ref="I13">_xlfn.SWITCH(H13,"XS",1,"S",2,"M",3,"L",5,"XL",8,"XXL",13,"XXXL",21,"")</f>
        <v>2</v>
      </c>
      <c r="J13" s="8"/>
      <c r="K13" s="8"/>
      <c r="L13" s="8"/>
    </row>
    <row r="14" spans="1:12" ht="409.6" x14ac:dyDescent="0.3">
      <c r="A14" s="8">
        <v>13</v>
      </c>
      <c r="B14" s="8"/>
      <c r="C14" s="8" t="s">
        <v>58</v>
      </c>
      <c r="D14" s="8" t="s">
        <v>37</v>
      </c>
      <c r="E14" s="8" t="s">
        <v>32</v>
      </c>
      <c r="F14" s="10" t="s">
        <v>57</v>
      </c>
      <c r="G14" s="8" t="s">
        <v>30</v>
      </c>
      <c r="H14" s="8" t="s">
        <v>31</v>
      </c>
      <c r="I14" s="8" cm="1">
        <f t="array" ref="I14">_xlfn.SWITCH(H14,"XS",1,"S",2,"M",3,"L",5,"XL",8,"XXL",13,"XXXL",21,"")</f>
        <v>5</v>
      </c>
      <c r="J14" s="8" t="s">
        <v>20</v>
      </c>
      <c r="K14" s="8"/>
      <c r="L14" s="8"/>
    </row>
    <row r="15" spans="1:12" ht="409.6" x14ac:dyDescent="0.3">
      <c r="A15" s="8">
        <v>14</v>
      </c>
      <c r="B15" s="8"/>
      <c r="C15" s="8"/>
      <c r="D15" s="8" t="s">
        <v>62</v>
      </c>
      <c r="E15" s="8" t="s">
        <v>23</v>
      </c>
      <c r="F15" s="10" t="s">
        <v>59</v>
      </c>
      <c r="G15" s="8" t="s">
        <v>25</v>
      </c>
      <c r="H15" s="8" t="s">
        <v>28</v>
      </c>
      <c r="I15" s="8" cm="1">
        <f t="array" ref="I15">_xlfn.SWITCH(H15,"XS",1,"S",2,"M",3,"L",5,"XL",8,"XXL",13,"XXXL",21,"")</f>
        <v>3</v>
      </c>
      <c r="J15" s="8"/>
      <c r="K15" s="8" t="s">
        <v>73</v>
      </c>
      <c r="L15" s="8"/>
    </row>
    <row r="16" spans="1:12" ht="409.6" x14ac:dyDescent="0.3">
      <c r="A16" s="8">
        <v>15</v>
      </c>
      <c r="B16" s="8"/>
      <c r="C16" s="8"/>
      <c r="D16" s="8" t="s">
        <v>61</v>
      </c>
      <c r="E16" s="8" t="s">
        <v>23</v>
      </c>
      <c r="F16" s="10" t="s">
        <v>60</v>
      </c>
      <c r="G16" s="8" t="s">
        <v>25</v>
      </c>
      <c r="H16" s="8" t="s">
        <v>31</v>
      </c>
      <c r="I16" s="8" cm="1">
        <f t="array" ref="I16">_xlfn.SWITCH(H16,"XS",1,"S",2,"M",3,"L",5,"XL",8,"XXL",13,"XXXL",21,"")</f>
        <v>5</v>
      </c>
      <c r="J16" s="8"/>
      <c r="K16" s="8" t="s">
        <v>73</v>
      </c>
      <c r="L16" s="8"/>
    </row>
    <row r="17" spans="1:12" ht="409.6" x14ac:dyDescent="0.3">
      <c r="A17" s="8">
        <v>16</v>
      </c>
      <c r="B17" s="8"/>
      <c r="C17" s="8">
        <v>18.5</v>
      </c>
      <c r="D17" s="8"/>
      <c r="E17" s="8" t="s">
        <v>23</v>
      </c>
      <c r="F17" s="10" t="s">
        <v>63</v>
      </c>
      <c r="G17" s="8" t="s">
        <v>25</v>
      </c>
      <c r="H17" s="8" t="s">
        <v>31</v>
      </c>
      <c r="I17" s="8" cm="1">
        <f t="array" ref="I17">_xlfn.SWITCH(H17,"XS",1,"S",2,"M",3,"L",5,"XL",8,"XXL",13,"XXXL",21,"")</f>
        <v>5</v>
      </c>
      <c r="J17" s="8"/>
      <c r="K17" s="8" t="s">
        <v>73</v>
      </c>
      <c r="L17" s="8"/>
    </row>
    <row r="18" spans="1:12" ht="315.60000000000002" customHeight="1" x14ac:dyDescent="0.3">
      <c r="A18" s="8">
        <v>17</v>
      </c>
      <c r="B18" s="8"/>
      <c r="C18" s="8" t="s">
        <v>62</v>
      </c>
      <c r="D18" s="8"/>
      <c r="E18" s="8" t="s">
        <v>32</v>
      </c>
      <c r="F18" s="10" t="s">
        <v>64</v>
      </c>
      <c r="G18" s="8" t="s">
        <v>30</v>
      </c>
      <c r="H18" s="8" t="s">
        <v>28</v>
      </c>
      <c r="I18" s="8" cm="1">
        <f t="array" ref="I18">_xlfn.SWITCH(H18,"XS",1,"S",2,"M",3,"L",5,"XL",8,"XXL",13,"XXXL",21,"")</f>
        <v>3</v>
      </c>
      <c r="J18" s="8"/>
      <c r="K18" s="8"/>
      <c r="L18" s="8"/>
    </row>
    <row r="19" spans="1:12" ht="383.4" customHeight="1" x14ac:dyDescent="0.3">
      <c r="A19" s="8">
        <v>18</v>
      </c>
      <c r="B19" s="8"/>
      <c r="C19" s="8">
        <v>18.100000000000001</v>
      </c>
      <c r="D19" s="8"/>
      <c r="E19" s="8" t="s">
        <v>21</v>
      </c>
      <c r="F19" s="10" t="s">
        <v>65</v>
      </c>
      <c r="G19" s="8" t="s">
        <v>22</v>
      </c>
      <c r="H19" s="8" t="s">
        <v>24</v>
      </c>
      <c r="I19" s="8" cm="1">
        <f t="array" ref="I19">_xlfn.SWITCH(H19,"XS",1,"S",2,"M",3,"L",5,"XL",8,"XXL",13,"XXXL",21,"")</f>
        <v>2</v>
      </c>
      <c r="J19" s="8"/>
      <c r="K19" s="8"/>
      <c r="L19" s="8"/>
    </row>
    <row r="20" spans="1:12" ht="409.6" x14ac:dyDescent="0.3">
      <c r="A20" s="8">
        <v>19</v>
      </c>
      <c r="B20" s="8"/>
      <c r="C20" s="8">
        <v>18.2</v>
      </c>
      <c r="D20" s="8"/>
      <c r="E20" s="8"/>
      <c r="F20" s="10" t="s">
        <v>66</v>
      </c>
      <c r="G20" s="8" t="s">
        <v>22</v>
      </c>
      <c r="H20" s="8" t="s">
        <v>31</v>
      </c>
      <c r="I20" s="8" cm="1">
        <f t="array" ref="I20">_xlfn.SWITCH(H20,"XS",1,"S",2,"M",3,"L",5,"XL",8,"XXL",13,"XXXL",21,"")</f>
        <v>5</v>
      </c>
      <c r="J20" s="8"/>
      <c r="K20" s="8"/>
      <c r="L20" s="8"/>
    </row>
    <row r="21" spans="1:12" ht="360" x14ac:dyDescent="0.3">
      <c r="A21" s="8">
        <v>20</v>
      </c>
      <c r="B21" s="8"/>
      <c r="C21" s="8">
        <v>18.3</v>
      </c>
      <c r="D21" s="8"/>
      <c r="E21" s="8" t="s">
        <v>21</v>
      </c>
      <c r="F21" s="10" t="s">
        <v>72</v>
      </c>
      <c r="G21" s="8" t="s">
        <v>30</v>
      </c>
      <c r="H21" s="8" t="s">
        <v>28</v>
      </c>
      <c r="I21" s="8" cm="1">
        <f t="array" ref="I21">_xlfn.SWITCH(H21,"XS",1,"S",2,"M",3,"L",5,"XL",8,"XXL",13,"XXXL",21,"")</f>
        <v>3</v>
      </c>
      <c r="J21" s="8"/>
      <c r="K21" s="8"/>
      <c r="L21" s="8"/>
    </row>
    <row r="22" spans="1:12" ht="409.2" customHeight="1" x14ac:dyDescent="0.3">
      <c r="A22" s="8">
        <v>21</v>
      </c>
      <c r="B22" s="8"/>
      <c r="C22" s="8" t="s">
        <v>69</v>
      </c>
      <c r="D22" s="8"/>
      <c r="E22" s="8" t="s">
        <v>21</v>
      </c>
      <c r="F22" s="10" t="s">
        <v>71</v>
      </c>
      <c r="G22" s="8" t="s">
        <v>22</v>
      </c>
      <c r="H22" s="8" t="s">
        <v>28</v>
      </c>
      <c r="I22" s="8" cm="1">
        <f t="array" ref="I22">_xlfn.SWITCH(H22,"XS",1,"S",2,"M",3,"L",5,"XL",8,"XXL",13,"XXXL",21,"")</f>
        <v>3</v>
      </c>
      <c r="J22" s="8"/>
      <c r="K22" s="8"/>
      <c r="L22" s="8"/>
    </row>
    <row r="23" spans="1:12" ht="302.39999999999998" x14ac:dyDescent="0.3">
      <c r="A23" s="8">
        <v>22</v>
      </c>
      <c r="B23" s="8"/>
      <c r="C23" s="8">
        <v>18.399999999999999</v>
      </c>
      <c r="D23" s="8"/>
      <c r="E23" s="8" t="s">
        <v>21</v>
      </c>
      <c r="F23" s="10" t="s">
        <v>70</v>
      </c>
      <c r="G23" s="8" t="s">
        <v>22</v>
      </c>
      <c r="H23" s="8" t="s">
        <v>28</v>
      </c>
      <c r="I23" s="8" cm="1">
        <f t="array" ref="I23">_xlfn.SWITCH(H23,"XS",1,"S",2,"M",3,"L",5,"XL",8,"XXL",13,"XXXL",21,"")</f>
        <v>3</v>
      </c>
      <c r="J23" s="8"/>
      <c r="K23" s="8"/>
      <c r="L23" s="8"/>
    </row>
    <row r="24" spans="1:12" ht="388.8" x14ac:dyDescent="0.3">
      <c r="A24" s="8">
        <v>23</v>
      </c>
      <c r="B24" s="8"/>
      <c r="C24" s="8">
        <v>18.5</v>
      </c>
      <c r="D24" s="8"/>
      <c r="E24" s="8" t="s">
        <v>21</v>
      </c>
      <c r="F24" s="10" t="s">
        <v>68</v>
      </c>
      <c r="G24" s="8" t="s">
        <v>22</v>
      </c>
      <c r="H24" s="8" t="s">
        <v>31</v>
      </c>
      <c r="I24" s="8" cm="1">
        <f t="array" ref="I24">_xlfn.SWITCH(H24,"XS",1,"S",2,"M",3,"L",5,"XL",8,"XXL",13,"XXXL",21,"")</f>
        <v>5</v>
      </c>
      <c r="J24" s="8"/>
      <c r="K24" s="8"/>
      <c r="L24" s="8"/>
    </row>
    <row r="25" spans="1:12" ht="409.6" x14ac:dyDescent="0.3">
      <c r="A25" s="8">
        <v>24</v>
      </c>
      <c r="B25" s="8"/>
      <c r="C25" s="8" t="s">
        <v>62</v>
      </c>
      <c r="D25" s="8"/>
      <c r="E25" s="8" t="s">
        <v>32</v>
      </c>
      <c r="F25" s="10" t="s">
        <v>67</v>
      </c>
      <c r="G25" s="8" t="s">
        <v>30</v>
      </c>
      <c r="H25" s="8" t="s">
        <v>31</v>
      </c>
      <c r="I25" s="8" cm="1">
        <f t="array" ref="I25">_xlfn.SWITCH(H25,"XS",1,"S",2,"M",3,"L",5,"XL",8,"XXL",13,"XXXL",21,"")</f>
        <v>5</v>
      </c>
      <c r="J25" s="8"/>
      <c r="K25" s="8"/>
      <c r="L25" s="8"/>
    </row>
    <row r="26" spans="1:12" x14ac:dyDescent="0.3">
      <c r="A26" s="8"/>
      <c r="B26" s="8"/>
      <c r="C26" s="8"/>
      <c r="D26" s="8"/>
      <c r="E26" s="8"/>
      <c r="F26" s="10"/>
      <c r="G26" s="8"/>
      <c r="H26" s="8"/>
      <c r="I26" s="8" t="str" cm="1">
        <f t="array" ref="I26">_xlfn.SWITCH(H26,"XS",1,"S",2,"M",3,"L",5,"XL",8,"XXL",13,"XXXL",21,"")</f>
        <v/>
      </c>
      <c r="J26" s="8"/>
      <c r="K26" s="8"/>
      <c r="L26" s="8"/>
    </row>
    <row r="27" spans="1:12" x14ac:dyDescent="0.3">
      <c r="A27" s="8"/>
      <c r="B27" s="8"/>
      <c r="C27" s="8"/>
      <c r="D27" s="8"/>
      <c r="E27" s="8"/>
      <c r="F27" s="10"/>
      <c r="G27" s="8"/>
      <c r="H27" s="8"/>
      <c r="I27" s="8" t="str" cm="1">
        <f t="array" ref="I27">_xlfn.SWITCH(H27,"XS",1,"S",2,"M",3,"L",5,"XL",8,"XXL",13,"XXXL",21,"")</f>
        <v/>
      </c>
      <c r="J27" s="8"/>
      <c r="K27" s="8"/>
      <c r="L27" s="8"/>
    </row>
    <row r="28" spans="1:12" x14ac:dyDescent="0.3">
      <c r="A28" s="8"/>
      <c r="B28" s="8"/>
      <c r="C28" s="8"/>
      <c r="D28" s="8"/>
      <c r="E28" s="8"/>
      <c r="F28" s="10"/>
      <c r="G28" s="8"/>
      <c r="H28" s="8"/>
      <c r="I28" s="8" t="str" cm="1">
        <f t="array" ref="I28">_xlfn.SWITCH(H28,"XS",1,"S",2,"M",3,"L",5,"XL",8,"XXL",13,"XXXL",21,"")</f>
        <v/>
      </c>
      <c r="J28" s="8"/>
      <c r="K28" s="8"/>
      <c r="L28" s="8"/>
    </row>
    <row r="29" spans="1:12" x14ac:dyDescent="0.3">
      <c r="A29" s="8"/>
      <c r="B29" s="8"/>
      <c r="C29" s="8"/>
      <c r="D29" s="8"/>
      <c r="E29" s="8"/>
      <c r="F29" s="10"/>
      <c r="G29" s="8"/>
      <c r="H29" s="8"/>
      <c r="I29" s="8" t="str" cm="1">
        <f t="array" ref="I29">_xlfn.SWITCH(H29,"XS",1,"S",2,"M",3,"L",5,"XL",8,"XXL",13,"XXXL",21,"")</f>
        <v/>
      </c>
      <c r="J29" s="8"/>
      <c r="K29" s="8"/>
      <c r="L29" s="8"/>
    </row>
    <row r="30" spans="1:12" x14ac:dyDescent="0.3">
      <c r="A30" s="8"/>
      <c r="B30" s="8"/>
      <c r="C30" s="8"/>
      <c r="D30" s="8"/>
      <c r="E30" s="8"/>
      <c r="F30" s="10"/>
      <c r="G30" s="8"/>
      <c r="H30" s="8"/>
      <c r="I30" s="8" t="str" cm="1">
        <f t="array" ref="I30">_xlfn.SWITCH(H30,"XS",1,"S",2,"M",3,"L",5,"XL",8,"XXL",13,"XXXL",21,"")</f>
        <v/>
      </c>
      <c r="J30" s="8"/>
      <c r="K30" s="8"/>
      <c r="L30" s="8"/>
    </row>
    <row r="31" spans="1:12" x14ac:dyDescent="0.3">
      <c r="A31" s="8"/>
      <c r="B31" s="8"/>
      <c r="C31" s="8"/>
      <c r="D31" s="8"/>
      <c r="E31" s="8"/>
      <c r="F31" s="10"/>
      <c r="G31" s="8"/>
      <c r="H31" s="8"/>
      <c r="I31" s="8" t="str" cm="1">
        <f t="array" ref="I31">_xlfn.SWITCH(H31,"XS",1,"S",2,"M",3,"L",5,"XL",8,"XXL",13,"XXXL",21,"")</f>
        <v/>
      </c>
      <c r="J31" s="8"/>
      <c r="K31" s="8"/>
      <c r="L31" s="8"/>
    </row>
    <row r="32" spans="1:12" x14ac:dyDescent="0.3">
      <c r="A32" s="8"/>
      <c r="B32" s="8"/>
      <c r="C32" s="8"/>
      <c r="D32" s="8"/>
      <c r="E32" s="8"/>
      <c r="F32" s="10"/>
      <c r="G32" s="8"/>
      <c r="H32" s="8"/>
      <c r="I32" s="8" t="str" cm="1">
        <f t="array" ref="I32">_xlfn.SWITCH(H32,"XS",1,"S",2,"M",3,"L",5,"XL",8,"XXL",13,"XXXL",21,"")</f>
        <v/>
      </c>
      <c r="J32" s="8"/>
      <c r="K32" s="8"/>
      <c r="L32" s="8"/>
    </row>
    <row r="33" spans="1:12" x14ac:dyDescent="0.3">
      <c r="A33" s="8"/>
      <c r="B33" s="8"/>
      <c r="C33" s="8"/>
      <c r="D33" s="8"/>
      <c r="E33" s="8"/>
      <c r="F33" s="7"/>
      <c r="G33" s="8"/>
      <c r="H33" s="8"/>
      <c r="I33" s="8" t="str" cm="1">
        <f t="array" ref="I33">_xlfn.SWITCH(H33,"XS",1,"S",2,"M",3,"L",5,"XL",8,"XXL",13,"XXXL",21,"")</f>
        <v/>
      </c>
      <c r="J33" s="8"/>
      <c r="K33" s="8"/>
      <c r="L33" s="8"/>
    </row>
    <row r="34" spans="1:12" x14ac:dyDescent="0.3">
      <c r="A34" s="8"/>
      <c r="B34" s="8"/>
      <c r="C34" s="8"/>
      <c r="D34" s="8"/>
      <c r="E34" s="8"/>
      <c r="F34" s="9"/>
      <c r="G34" s="8"/>
      <c r="H34" s="8"/>
      <c r="I34" s="8" t="str" cm="1">
        <f t="array" ref="I34">_xlfn.SWITCH(H34,"XS",1,"S",2,"M",3,"L",5,"XL",8,"XXL",13,"XXXL",21,"")</f>
        <v/>
      </c>
      <c r="J34" s="8"/>
      <c r="K34" s="8"/>
      <c r="L34" s="8"/>
    </row>
    <row r="35" spans="1:12" x14ac:dyDescent="0.3">
      <c r="A35" s="8"/>
      <c r="B35" s="8"/>
      <c r="C35" s="8"/>
      <c r="D35" s="8"/>
      <c r="E35" s="8"/>
      <c r="F35" s="9"/>
      <c r="G35" s="8"/>
      <c r="H35" s="8"/>
      <c r="I35" s="8" t="str" cm="1">
        <f t="array" ref="I35">_xlfn.SWITCH(H35,"XS",1,"S",2,"M",3,"L",5,"XL",8,"XXL",13,"XXXL",21,"")</f>
        <v/>
      </c>
      <c r="J35" s="8"/>
      <c r="K35" s="8"/>
      <c r="L35" s="8"/>
    </row>
    <row r="36" spans="1:12" x14ac:dyDescent="0.3">
      <c r="A36" s="8"/>
      <c r="B36" s="8"/>
      <c r="C36" s="8"/>
      <c r="D36" s="8"/>
      <c r="E36" s="8"/>
      <c r="F36" s="9"/>
      <c r="G36" s="8"/>
      <c r="H36" s="8"/>
      <c r="I36" s="8" t="str" cm="1">
        <f t="array" ref="I36">_xlfn.SWITCH(H36,"XS",1,"S",2,"M",3,"L",5,"XL",8,"XXL",13,"XXXL",21,"")</f>
        <v/>
      </c>
      <c r="J36" s="8"/>
      <c r="K36" s="8"/>
      <c r="L36" s="8"/>
    </row>
    <row r="37" spans="1:12" x14ac:dyDescent="0.3">
      <c r="A37" s="8"/>
      <c r="B37" s="8"/>
      <c r="C37" s="8"/>
      <c r="D37" s="8"/>
      <c r="E37" s="8"/>
      <c r="F37" s="9"/>
      <c r="G37" s="8"/>
      <c r="H37" s="8"/>
      <c r="I37" s="8" t="str" cm="1">
        <f t="array" ref="I37">_xlfn.SWITCH(H37,"XS",1,"S",2,"M",3,"L",5,"XL",8,"XXL",13,"XXXL",21,"")</f>
        <v/>
      </c>
      <c r="J37" s="8"/>
      <c r="K37" s="8"/>
      <c r="L37" s="8"/>
    </row>
    <row r="38" spans="1:12" x14ac:dyDescent="0.3">
      <c r="A38" s="8"/>
      <c r="B38" s="8"/>
      <c r="C38" s="8"/>
      <c r="D38" s="8"/>
      <c r="E38" s="8"/>
      <c r="F38" s="9"/>
      <c r="G38" s="8"/>
      <c r="H38" s="8"/>
      <c r="I38" s="8" t="str" cm="1">
        <f t="array" ref="I38">_xlfn.SWITCH(H38,"XS",1,"S",2,"M",3,"L",5,"XL",8,"XXL",13,"XXXL",21,"")</f>
        <v/>
      </c>
      <c r="J38" s="8"/>
      <c r="K38" s="8"/>
      <c r="L38" s="8"/>
    </row>
    <row r="39" spans="1:12" x14ac:dyDescent="0.3">
      <c r="A39" s="8"/>
      <c r="B39" s="8"/>
      <c r="C39" s="8"/>
      <c r="D39" s="8"/>
      <c r="E39" s="8"/>
      <c r="F39" s="9"/>
      <c r="G39" s="8"/>
      <c r="H39" s="8"/>
      <c r="I39" s="8" t="str" cm="1">
        <f t="array" ref="I39">_xlfn.SWITCH(H39,"XS",1,"S",2,"M",3,"L",5,"XL",8,"XXL",13,"XXXL",21,"")</f>
        <v/>
      </c>
      <c r="J39" s="8"/>
      <c r="K39" s="8"/>
      <c r="L39" s="8"/>
    </row>
    <row r="40" spans="1:12" x14ac:dyDescent="0.3">
      <c r="A40" s="8"/>
      <c r="B40" s="8"/>
      <c r="C40" s="8"/>
      <c r="D40" s="8"/>
      <c r="E40" s="8"/>
      <c r="F40" s="9"/>
      <c r="G40" s="8"/>
      <c r="H40" s="8"/>
      <c r="I40" s="8" t="str" cm="1">
        <f t="array" ref="I40">_xlfn.SWITCH(H40,"XS",1,"S",2,"M",3,"L",5,"XL",8,"XXL",13,"XXXL",21,"")</f>
        <v/>
      </c>
      <c r="J40" s="8"/>
      <c r="K40" s="8"/>
      <c r="L40" s="8"/>
    </row>
    <row r="41" spans="1:12" x14ac:dyDescent="0.3">
      <c r="A41" s="8"/>
      <c r="B41" s="8"/>
      <c r="C41" s="8"/>
      <c r="D41" s="8"/>
      <c r="E41" s="8"/>
      <c r="F41" s="9"/>
      <c r="G41" s="8"/>
      <c r="H41" s="8"/>
      <c r="I41" s="8" t="str" cm="1">
        <f t="array" ref="I41">_xlfn.SWITCH(H41,"XS",1,"S",2,"M",3,"L",5,"XL",8,"XXL",13,"XXXL",21,"")</f>
        <v/>
      </c>
      <c r="J41" s="8"/>
      <c r="K41" s="8"/>
      <c r="L41" s="8"/>
    </row>
    <row r="42" spans="1:12" x14ac:dyDescent="0.3">
      <c r="A42" s="8"/>
      <c r="B42" s="8"/>
      <c r="C42" s="8"/>
      <c r="D42" s="8"/>
      <c r="E42" s="8"/>
      <c r="F42" s="9"/>
      <c r="G42" s="8"/>
      <c r="H42" s="8"/>
      <c r="I42" s="8" t="str" cm="1">
        <f t="array" ref="I42">_xlfn.SWITCH(H42,"XS",1,"S",2,"M",3,"L",5,"XL",8,"XXL",13,"XXXL",21,"")</f>
        <v/>
      </c>
      <c r="J42" s="8"/>
      <c r="K42" s="8"/>
      <c r="L42" s="8"/>
    </row>
    <row r="43" spans="1:12" x14ac:dyDescent="0.3">
      <c r="A43" s="8"/>
      <c r="B43" s="8"/>
      <c r="C43" s="8"/>
      <c r="D43" s="8"/>
      <c r="E43" s="8"/>
      <c r="F43" s="9"/>
      <c r="G43" s="8"/>
      <c r="H43" s="8"/>
      <c r="I43" s="8" t="str" cm="1">
        <f t="array" ref="I43">_xlfn.SWITCH(H43,"XS",1,"S",2,"M",3,"L",5,"XL",8,"XXL",13,"XXXL",21,"")</f>
        <v/>
      </c>
      <c r="J43" s="8"/>
      <c r="K43" s="8"/>
      <c r="L43" s="8"/>
    </row>
    <row r="44" spans="1:12" x14ac:dyDescent="0.3">
      <c r="A44" s="8"/>
      <c r="B44" s="8"/>
      <c r="C44" s="8"/>
      <c r="D44" s="8"/>
      <c r="E44" s="8"/>
      <c r="F44" s="9"/>
      <c r="G44" s="8"/>
      <c r="H44" s="8"/>
      <c r="I44" s="8" t="str" cm="1">
        <f t="array" ref="I44">_xlfn.SWITCH(H44,"XS",1,"S",2,"M",3,"L",5,"XL",8,"XXL",13,"XXXL",21,"")</f>
        <v/>
      </c>
      <c r="J44" s="8"/>
      <c r="K44" s="8"/>
      <c r="L44" s="8"/>
    </row>
    <row r="45" spans="1:12" x14ac:dyDescent="0.3">
      <c r="A45" s="8"/>
      <c r="B45" s="8"/>
      <c r="C45" s="8"/>
      <c r="D45" s="8"/>
      <c r="E45" s="8"/>
      <c r="F45" s="9"/>
      <c r="G45" s="8"/>
      <c r="H45" s="8"/>
      <c r="I45" s="8" t="str" cm="1">
        <f t="array" ref="I45">_xlfn.SWITCH(H45,"XS",1,"S",2,"M",3,"L",5,"XL",8,"XXL",13,"XXXL",21,"")</f>
        <v/>
      </c>
      <c r="J45" s="8"/>
      <c r="K45" s="8"/>
      <c r="L45" s="8"/>
    </row>
    <row r="46" spans="1:12" x14ac:dyDescent="0.3">
      <c r="A46" s="8"/>
      <c r="B46" s="8"/>
      <c r="C46" s="8"/>
      <c r="D46" s="8"/>
      <c r="E46" s="8"/>
      <c r="F46" s="9"/>
      <c r="G46" s="8"/>
      <c r="H46" s="8"/>
      <c r="I46" s="8" t="str" cm="1">
        <f t="array" ref="I46">_xlfn.SWITCH(H46,"XS",1,"S",2,"M",3,"L",5,"XL",8,"XXL",13,"XXXL",21,"")</f>
        <v/>
      </c>
      <c r="J46" s="8"/>
      <c r="K46" s="8"/>
      <c r="L46" s="8"/>
    </row>
    <row r="47" spans="1:12" x14ac:dyDescent="0.3">
      <c r="A47" s="8"/>
      <c r="B47" s="8"/>
      <c r="C47" s="8"/>
      <c r="D47" s="8"/>
      <c r="E47" s="8"/>
      <c r="F47" s="9"/>
      <c r="G47" s="8"/>
      <c r="H47" s="8"/>
      <c r="I47" s="8" t="str" cm="1">
        <f t="array" ref="I47">_xlfn.SWITCH(H47,"XS",1,"S",2,"M",3,"L",5,"XL",8,"XXL",13,"XXXL",21,"")</f>
        <v/>
      </c>
      <c r="J47" s="8"/>
      <c r="K47" s="8"/>
      <c r="L47" s="8"/>
    </row>
    <row r="48" spans="1:12" x14ac:dyDescent="0.3">
      <c r="A48" s="8"/>
      <c r="B48" s="8"/>
      <c r="C48" s="8"/>
      <c r="D48" s="8"/>
      <c r="E48" s="8"/>
      <c r="F48" s="9"/>
      <c r="G48" s="8"/>
      <c r="H48" s="8"/>
      <c r="I48" s="8" t="str" cm="1">
        <f t="array" ref="I48">_xlfn.SWITCH(H48,"XS",1,"S",2,"M",3,"L",5,"XL",8,"XXL",13,"XXXL",21,"")</f>
        <v/>
      </c>
      <c r="J48" s="8"/>
      <c r="K48" s="8"/>
      <c r="L48" s="8"/>
    </row>
    <row r="49" spans="1:12" x14ac:dyDescent="0.3">
      <c r="A49" s="8"/>
      <c r="B49" s="8"/>
      <c r="C49" s="8"/>
      <c r="D49" s="8"/>
      <c r="E49" s="8"/>
      <c r="F49" s="9"/>
      <c r="G49" s="8"/>
      <c r="H49" s="8"/>
      <c r="I49" s="8" t="str" cm="1">
        <f t="array" ref="I49">_xlfn.SWITCH(H49,"XS",1,"S",2,"M",3,"L",5,"XL",8,"XXL",13,"XXXL",21,"")</f>
        <v/>
      </c>
      <c r="J49" s="8"/>
      <c r="K49" s="8"/>
      <c r="L49" s="8"/>
    </row>
    <row r="50" spans="1:12" x14ac:dyDescent="0.3">
      <c r="A50" s="8"/>
      <c r="B50" s="8"/>
      <c r="C50" s="8"/>
      <c r="D50" s="8"/>
      <c r="E50" s="8"/>
      <c r="F50" s="9"/>
      <c r="G50" s="8"/>
      <c r="H50" s="8"/>
      <c r="I50" s="8" t="str" cm="1">
        <f t="array" ref="I50">_xlfn.SWITCH(H50,"XS",1,"S",2,"M",3,"L",5,"XL",8,"XXL",13,"XXXL",21,"")</f>
        <v/>
      </c>
      <c r="J50" s="8"/>
      <c r="K50" s="8"/>
      <c r="L50" s="8"/>
    </row>
    <row r="51" spans="1:12" x14ac:dyDescent="0.3">
      <c r="A51" s="8"/>
      <c r="B51" s="8"/>
      <c r="C51" s="8"/>
      <c r="D51" s="8"/>
      <c r="E51" s="8"/>
      <c r="F51" s="10"/>
      <c r="G51" s="8"/>
      <c r="H51" s="8"/>
      <c r="I51" s="8" t="str" cm="1">
        <f t="array" ref="I51">_xlfn.SWITCH(H51,"XS",1,"S",2,"M",3,"L",5,"XL",8,"XXL",13,"XXXL",21,"")</f>
        <v/>
      </c>
      <c r="J51" s="8"/>
      <c r="K51" s="8"/>
      <c r="L51" s="8"/>
    </row>
    <row r="52" spans="1:12" x14ac:dyDescent="0.3">
      <c r="A52" s="8"/>
      <c r="B52" s="8"/>
      <c r="C52" s="8"/>
      <c r="D52" s="8"/>
      <c r="E52" s="8"/>
      <c r="F52" s="10"/>
      <c r="G52" s="8"/>
      <c r="H52" s="8"/>
      <c r="I52" s="8" t="str" cm="1">
        <f t="array" ref="I52">_xlfn.SWITCH(H52,"XS",1,"S",2,"M",3,"L",5,"XL",8,"XXL",13,"XXXL",21,"")</f>
        <v/>
      </c>
      <c r="J52" s="8"/>
      <c r="K52" s="8"/>
      <c r="L52" s="8"/>
    </row>
    <row r="53" spans="1:12" x14ac:dyDescent="0.3">
      <c r="A53" s="8"/>
      <c r="B53" s="8"/>
      <c r="C53" s="8"/>
      <c r="D53" s="8"/>
      <c r="E53" s="8"/>
      <c r="F53" s="10"/>
      <c r="G53" s="8"/>
      <c r="H53" s="8"/>
      <c r="I53" s="8" t="str" cm="1">
        <f t="array" ref="I53">_xlfn.SWITCH(H53,"XS",1,"S",2,"M",3,"L",5,"XL",8,"XXL",13,"XXXL",21,"")</f>
        <v/>
      </c>
      <c r="J53" s="8"/>
      <c r="K53" s="8"/>
      <c r="L53" s="8"/>
    </row>
    <row r="54" spans="1:12" x14ac:dyDescent="0.3">
      <c r="A54" s="8"/>
      <c r="B54" s="8"/>
      <c r="C54" s="8"/>
      <c r="D54" s="8"/>
      <c r="E54" s="8"/>
      <c r="F54" s="10"/>
      <c r="G54" s="8"/>
      <c r="H54" s="8"/>
      <c r="I54" s="8" t="str" cm="1">
        <f t="array" ref="I54">_xlfn.SWITCH(H54,"XS",1,"S",2,"M",3,"L",5,"XL",8,"XXL",13,"XXXL",21,"")</f>
        <v/>
      </c>
      <c r="J54" s="8"/>
      <c r="K54" s="8"/>
      <c r="L54" s="8"/>
    </row>
    <row r="55" spans="1:12" x14ac:dyDescent="0.3">
      <c r="A55" s="8"/>
      <c r="B55" s="8"/>
      <c r="C55" s="8"/>
      <c r="D55" s="8"/>
      <c r="E55" s="8"/>
      <c r="F55" s="10"/>
      <c r="G55" s="8"/>
      <c r="H55" s="8"/>
      <c r="I55" s="8" t="str" cm="1">
        <f t="array" ref="I55">_xlfn.SWITCH(H55,"XS",1,"S",2,"M",3,"L",5,"XL",8,"XXL",13,"XXXL",21,"")</f>
        <v/>
      </c>
      <c r="J55" s="8"/>
      <c r="K55" s="8"/>
      <c r="L55" s="8"/>
    </row>
    <row r="56" spans="1:12" x14ac:dyDescent="0.3">
      <c r="A56" s="8"/>
      <c r="B56" s="8"/>
      <c r="C56" s="8"/>
      <c r="D56" s="8"/>
      <c r="E56" s="8"/>
      <c r="F56" s="10"/>
      <c r="G56" s="8"/>
      <c r="H56" s="8"/>
      <c r="I56" s="8" t="str" cm="1">
        <f t="array" ref="I56">_xlfn.SWITCH(H56,"XS",1,"S",2,"M",3,"L",5,"XL",8,"XXL",13,"XXXL",21,"")</f>
        <v/>
      </c>
      <c r="J56" s="8"/>
      <c r="K56" s="8"/>
      <c r="L56" s="8"/>
    </row>
    <row r="57" spans="1:12" x14ac:dyDescent="0.3">
      <c r="A57" s="8"/>
      <c r="B57" s="8"/>
      <c r="C57" s="8"/>
      <c r="D57" s="8"/>
      <c r="E57" s="8"/>
      <c r="F57" s="9"/>
      <c r="G57" s="8"/>
      <c r="H57" s="8"/>
      <c r="I57" s="8" t="str" cm="1">
        <f t="array" ref="I57">_xlfn.SWITCH(H57,"XS",1,"S",2,"M",3,"L",5,"XL",8,"XXL",13,"XXXL",21,"")</f>
        <v/>
      </c>
      <c r="J57" s="8"/>
      <c r="K57" s="8"/>
      <c r="L57" s="8"/>
    </row>
    <row r="58" spans="1:12" x14ac:dyDescent="0.3">
      <c r="A58" s="8"/>
      <c r="B58" s="8"/>
      <c r="C58" s="8"/>
      <c r="D58" s="8"/>
      <c r="E58" s="8"/>
      <c r="F58" s="9"/>
      <c r="G58" s="8"/>
      <c r="H58" s="8"/>
      <c r="I58" s="8" t="str" cm="1">
        <f t="array" ref="I58">_xlfn.SWITCH(H58,"XS",1,"S",2,"M",3,"L",5,"XL",8,"XXL",13,"XXXL",21,"")</f>
        <v/>
      </c>
      <c r="J58" s="8"/>
      <c r="K58" s="8"/>
      <c r="L58" s="8"/>
    </row>
    <row r="59" spans="1:12" x14ac:dyDescent="0.3">
      <c r="A59" s="8"/>
      <c r="B59" s="8"/>
      <c r="C59" s="8"/>
      <c r="D59" s="8"/>
      <c r="E59" s="8"/>
      <c r="F59" s="9"/>
      <c r="G59" s="8"/>
      <c r="H59" s="8"/>
      <c r="I59" s="8" t="str" cm="1">
        <f t="array" ref="I59">_xlfn.SWITCH(H59,"XS",1,"S",2,"M",3,"L",5,"XL",8,"XXL",13,"XXXL",21,"")</f>
        <v/>
      </c>
      <c r="J59" s="8"/>
      <c r="K59" s="8"/>
      <c r="L59" s="8"/>
    </row>
    <row r="60" spans="1:12" x14ac:dyDescent="0.3">
      <c r="A60" s="8"/>
      <c r="B60" s="8"/>
      <c r="C60" s="8"/>
      <c r="D60" s="8"/>
      <c r="E60" s="8"/>
      <c r="F60" s="9"/>
      <c r="G60" s="8"/>
      <c r="H60" s="8"/>
      <c r="I60" s="8" t="str" cm="1">
        <f t="array" ref="I60">_xlfn.SWITCH(H60,"XS",1,"S",2,"M",3,"L",5,"XL",8,"XXL",13,"XXXL",21,"")</f>
        <v/>
      </c>
      <c r="J60" s="8"/>
      <c r="K60" s="8"/>
      <c r="L60" s="8"/>
    </row>
    <row r="61" spans="1:12" x14ac:dyDescent="0.3">
      <c r="A61" s="8"/>
      <c r="B61" s="8"/>
      <c r="C61" s="8"/>
      <c r="D61" s="8"/>
      <c r="E61" s="8"/>
      <c r="F61" s="9"/>
      <c r="G61" s="8"/>
      <c r="H61" s="8"/>
      <c r="I61" s="8" t="str" cm="1">
        <f t="array" ref="I61">_xlfn.SWITCH(H61,"XS",1,"S",2,"M",3,"L",5,"XL",8,"XXL",13,"XXXL",21,"")</f>
        <v/>
      </c>
      <c r="J61" s="8"/>
      <c r="K61" s="8"/>
      <c r="L61" s="8"/>
    </row>
    <row r="62" spans="1:12" x14ac:dyDescent="0.3">
      <c r="A62" s="8"/>
      <c r="B62" s="8"/>
      <c r="C62" s="8"/>
      <c r="D62" s="8"/>
      <c r="E62" s="8"/>
      <c r="F62" s="9"/>
      <c r="G62" s="8"/>
      <c r="H62" s="8"/>
      <c r="I62" s="8" t="str" cm="1">
        <f t="array" ref="I62">_xlfn.SWITCH(H62,"XS",1,"S",2,"M",3,"L",5,"XL",8,"XXL",13,"XXXL",21,"")</f>
        <v/>
      </c>
      <c r="J62" s="8"/>
      <c r="K62" s="8"/>
      <c r="L62" s="8"/>
    </row>
    <row r="63" spans="1:12" x14ac:dyDescent="0.3">
      <c r="A63" s="8"/>
      <c r="B63" s="8"/>
      <c r="C63" s="8"/>
      <c r="D63" s="8"/>
      <c r="E63" s="8"/>
      <c r="F63" s="9"/>
      <c r="G63" s="8"/>
      <c r="H63" s="8"/>
      <c r="I63" s="8" t="str" cm="1">
        <f t="array" ref="I63">_xlfn.SWITCH(H63,"XS",1,"S",2,"M",3,"L",5,"XL",8,"XXL",13,"XXXL",21,"")</f>
        <v/>
      </c>
      <c r="J63" s="8"/>
      <c r="K63" s="8"/>
      <c r="L63" s="8"/>
    </row>
    <row r="64" spans="1:12" x14ac:dyDescent="0.3">
      <c r="A64" s="8"/>
      <c r="B64" s="8"/>
      <c r="C64" s="8"/>
      <c r="D64" s="8"/>
      <c r="E64" s="8"/>
      <c r="F64" s="9"/>
      <c r="G64" s="8"/>
      <c r="H64" s="8"/>
      <c r="I64" s="8" t="str" cm="1">
        <f t="array" ref="I64">_xlfn.SWITCH(H64,"XS",1,"S",2,"M",3,"L",5,"XL",8,"XXL",13,"XXXL",21,"")</f>
        <v/>
      </c>
      <c r="J64" s="8"/>
      <c r="K64" s="8"/>
      <c r="L64" s="8"/>
    </row>
    <row r="65" spans="1:12" x14ac:dyDescent="0.3">
      <c r="A65" s="8"/>
      <c r="B65" s="8"/>
      <c r="C65" s="8"/>
      <c r="D65" s="8"/>
      <c r="E65" s="8"/>
      <c r="F65" s="9"/>
      <c r="G65" s="8"/>
      <c r="H65" s="8"/>
      <c r="I65" s="8" t="str" cm="1">
        <f t="array" ref="I65">_xlfn.SWITCH(H65,"XS",1,"S",2,"M",3,"L",5,"XL",8,"XXL",13,"XXXL",21,"")</f>
        <v/>
      </c>
      <c r="J65" s="8"/>
      <c r="K65" s="8"/>
      <c r="L65" s="8"/>
    </row>
    <row r="66" spans="1:12" x14ac:dyDescent="0.3">
      <c r="A66" s="8"/>
      <c r="B66" s="8"/>
      <c r="C66" s="8"/>
      <c r="D66" s="8"/>
      <c r="E66" s="8"/>
      <c r="F66" s="9"/>
      <c r="G66" s="8"/>
      <c r="H66" s="8"/>
      <c r="I66" s="8" t="str" cm="1">
        <f t="array" ref="I66">_xlfn.SWITCH(H66,"XS",1,"S",2,"M",3,"L",5,"XL",8,"XXL",13,"XXXL",21,"")</f>
        <v/>
      </c>
      <c r="J66" s="8"/>
      <c r="K66" s="8"/>
      <c r="L66" s="8"/>
    </row>
    <row r="67" spans="1:12" x14ac:dyDescent="0.3">
      <c r="A67" s="8"/>
      <c r="B67" s="8"/>
      <c r="C67" s="8"/>
      <c r="D67" s="8"/>
      <c r="E67" s="8"/>
      <c r="F67" s="9"/>
      <c r="G67" s="8"/>
      <c r="H67" s="8"/>
      <c r="I67" s="8" t="str" cm="1">
        <f t="array" ref="I67">_xlfn.SWITCH(H67,"XS",1,"S",2,"M",3,"L",5,"XL",8,"XXL",13,"XXXL",21,"")</f>
        <v/>
      </c>
      <c r="J67" s="8"/>
      <c r="K67" s="8"/>
      <c r="L67" s="8"/>
    </row>
    <row r="68" spans="1:12" x14ac:dyDescent="0.3">
      <c r="A68" s="8"/>
      <c r="B68" s="8"/>
      <c r="C68" s="8"/>
      <c r="D68" s="8"/>
      <c r="E68" s="8"/>
      <c r="F68" s="7"/>
      <c r="G68" s="8"/>
      <c r="H68" s="8"/>
      <c r="I68" s="8" t="str" cm="1">
        <f t="array" ref="I68">_xlfn.SWITCH(H68,"XS",1,"S",2,"M",3,"L",5,"XL",8,"XXL",13,"XXXL",21,"")</f>
        <v/>
      </c>
      <c r="J68" s="8"/>
      <c r="K68" s="8"/>
      <c r="L68" s="8"/>
    </row>
    <row r="69" spans="1:12" x14ac:dyDescent="0.3">
      <c r="A69" s="8"/>
      <c r="B69" s="8"/>
      <c r="C69" s="8"/>
      <c r="D69" s="8"/>
      <c r="E69" s="8"/>
      <c r="F69" s="9"/>
      <c r="G69" s="8"/>
      <c r="H69" s="8"/>
      <c r="I69" s="8" t="str" cm="1">
        <f t="array" ref="I69">_xlfn.SWITCH(H69,"XS",1,"S",2,"M",3,"L",5,"XL",8,"XXL",13,"XXXL",21,"")</f>
        <v/>
      </c>
      <c r="J69" s="8"/>
      <c r="K69" s="8"/>
      <c r="L69" s="8"/>
    </row>
    <row r="70" spans="1:12" x14ac:dyDescent="0.3">
      <c r="A70" s="8"/>
      <c r="B70" s="8"/>
      <c r="C70" s="8"/>
      <c r="D70" s="8"/>
      <c r="E70" s="8"/>
      <c r="F70" s="7"/>
      <c r="G70" s="8"/>
      <c r="H70" s="8"/>
      <c r="I70" s="8" t="str" cm="1">
        <f t="array" ref="I70">_xlfn.SWITCH(H70,"XS",1,"S",2,"M",3,"L",5,"XL",8,"XXL",13,"XXXL",21,"")</f>
        <v/>
      </c>
      <c r="J70" s="8"/>
      <c r="K70" s="8"/>
      <c r="L70" s="8"/>
    </row>
    <row r="71" spans="1:12" x14ac:dyDescent="0.3">
      <c r="A71" s="8"/>
      <c r="B71" s="8"/>
      <c r="C71" s="8"/>
      <c r="D71" s="8"/>
      <c r="E71" s="8"/>
      <c r="F71" s="7"/>
      <c r="G71" s="8"/>
      <c r="H71" s="8"/>
      <c r="I71" s="8" t="str" cm="1">
        <f t="array" ref="I71">_xlfn.SWITCH(H71,"XS",1,"S",2,"M",3,"L",5,"XL",8,"XXL",13,"XXXL",21,"")</f>
        <v/>
      </c>
      <c r="J71" s="8"/>
      <c r="K71" s="8"/>
      <c r="L71" s="8"/>
    </row>
    <row r="72" spans="1:12" x14ac:dyDescent="0.3">
      <c r="A72" s="8"/>
      <c r="B72" s="8"/>
      <c r="C72" s="8"/>
      <c r="D72" s="8"/>
      <c r="E72" s="8"/>
      <c r="F72" s="9"/>
      <c r="G72" s="8"/>
      <c r="H72" s="8"/>
      <c r="I72" s="8" t="str" cm="1">
        <f t="array" ref="I72">_xlfn.SWITCH(H72,"XS",1,"S",2,"M",3,"L",5,"XL",8,"XXL",13,"XXXL",21,"")</f>
        <v/>
      </c>
      <c r="J72" s="8"/>
      <c r="K72" s="8"/>
      <c r="L72" s="8"/>
    </row>
    <row r="73" spans="1:12" x14ac:dyDescent="0.3">
      <c r="A73" s="8"/>
      <c r="B73" s="8"/>
      <c r="C73" s="8"/>
      <c r="D73" s="8"/>
      <c r="E73" s="8"/>
      <c r="F73" s="9"/>
      <c r="G73" s="8"/>
      <c r="H73" s="8"/>
      <c r="I73" s="8" t="str" cm="1">
        <f t="array" ref="I73">_xlfn.SWITCH(H73,"XS",1,"S",2,"M",3,"L",5,"XL",8,"XXL",13,"XXXL",21,"")</f>
        <v/>
      </c>
      <c r="J73" s="8"/>
      <c r="K73" s="8"/>
      <c r="L73" s="8"/>
    </row>
    <row r="74" spans="1:12" x14ac:dyDescent="0.3">
      <c r="A74" s="8"/>
      <c r="B74" s="8"/>
      <c r="C74" s="8"/>
      <c r="D74" s="8"/>
      <c r="E74" s="8"/>
      <c r="F74" s="9"/>
      <c r="G74" s="8"/>
      <c r="H74" s="8"/>
      <c r="I74" s="8" t="str" cm="1">
        <f t="array" ref="I74">_xlfn.SWITCH(H74,"XS",1,"S",2,"M",3,"L",5,"XL",8,"XXL",13,"XXXL",21,"")</f>
        <v/>
      </c>
      <c r="J74" s="8"/>
      <c r="K74" s="8"/>
      <c r="L74" s="8"/>
    </row>
    <row r="75" spans="1:12" x14ac:dyDescent="0.3">
      <c r="A75" s="8"/>
      <c r="B75" s="8"/>
      <c r="C75" s="8"/>
      <c r="D75" s="8"/>
      <c r="E75" s="8"/>
      <c r="F75" s="9"/>
      <c r="G75" s="8"/>
      <c r="H75" s="8"/>
      <c r="I75" s="8" t="str" cm="1">
        <f t="array" ref="I75">_xlfn.SWITCH(H75,"XS",1,"S",2,"M",3,"L",5,"XL",8,"XXL",13,"XXXL",21,"")</f>
        <v/>
      </c>
      <c r="J75" s="8"/>
      <c r="K75" s="8"/>
      <c r="L75" s="8"/>
    </row>
    <row r="76" spans="1:12" x14ac:dyDescent="0.3">
      <c r="A76" s="8"/>
      <c r="B76" s="8"/>
      <c r="C76" s="8"/>
      <c r="D76" s="8"/>
      <c r="E76" s="8"/>
      <c r="F76" s="9"/>
      <c r="G76" s="8"/>
      <c r="H76" s="8"/>
      <c r="I76" s="8" t="str" cm="1">
        <f t="array" ref="I76">_xlfn.SWITCH(H76,"XS",1,"S",2,"M",3,"L",5,"XL",8,"XXL",13,"XXXL",21,"")</f>
        <v/>
      </c>
      <c r="J76" s="8"/>
      <c r="K76" s="8"/>
      <c r="L76" s="8"/>
    </row>
    <row r="77" spans="1:12" x14ac:dyDescent="0.3">
      <c r="A77" s="8"/>
      <c r="B77" s="8"/>
      <c r="C77" s="8"/>
      <c r="D77" s="8"/>
      <c r="E77" s="8"/>
      <c r="F77" s="10"/>
      <c r="G77" s="8"/>
      <c r="H77" s="8"/>
      <c r="I77" s="8" t="str" cm="1">
        <f t="array" ref="I77">_xlfn.SWITCH(H77,"XS",1,"S",2,"M",3,"L",5,"XL",8,"XXL",13,"XXXL",21,"")</f>
        <v/>
      </c>
      <c r="J77" s="8"/>
      <c r="K77" s="8"/>
      <c r="L77" s="8"/>
    </row>
    <row r="78" spans="1:12" x14ac:dyDescent="0.3">
      <c r="A78" s="8"/>
      <c r="B78" s="8"/>
      <c r="C78" s="8"/>
      <c r="D78" s="8"/>
      <c r="E78" s="8"/>
      <c r="F78" s="10"/>
      <c r="G78" s="8"/>
      <c r="H78" s="8"/>
      <c r="I78" s="8" t="str" cm="1">
        <f t="array" ref="I78">_xlfn.SWITCH(H78,"XS",1,"S",2,"M",3,"L",5,"XL",8,"XXL",13,"XXXL",21,"")</f>
        <v/>
      </c>
      <c r="J78" s="8"/>
      <c r="K78" s="8"/>
      <c r="L78" s="8"/>
    </row>
    <row r="79" spans="1:12" x14ac:dyDescent="0.3">
      <c r="A79" s="8"/>
      <c r="B79" s="8"/>
      <c r="C79" s="8"/>
      <c r="D79" s="8"/>
      <c r="E79" s="8"/>
      <c r="F79" s="10"/>
      <c r="G79" s="8"/>
      <c r="H79" s="8"/>
      <c r="I79" s="8" t="str" cm="1">
        <f t="array" ref="I79">_xlfn.SWITCH(H79,"XS",1,"S",2,"M",3,"L",5,"XL",8,"XXL",13,"XXXL",21,"")</f>
        <v/>
      </c>
      <c r="J79" s="8"/>
      <c r="K79" s="8"/>
      <c r="L79" s="8"/>
    </row>
    <row r="80" spans="1:12" x14ac:dyDescent="0.3">
      <c r="A80" s="8"/>
      <c r="B80" s="8"/>
      <c r="C80" s="8"/>
      <c r="D80" s="8"/>
      <c r="E80" s="8"/>
      <c r="F80" s="10"/>
      <c r="G80" s="8"/>
      <c r="H80" s="8"/>
      <c r="I80" s="8" t="str" cm="1">
        <f t="array" ref="I80">_xlfn.SWITCH(H80,"XS",1,"S",2,"M",3,"L",5,"XL",8,"XXL",13,"XXXL",21,"")</f>
        <v/>
      </c>
      <c r="J80" s="8"/>
      <c r="K80" s="8"/>
      <c r="L80" s="8"/>
    </row>
    <row r="81" spans="1:12" x14ac:dyDescent="0.3">
      <c r="A81" s="8"/>
      <c r="B81" s="8"/>
      <c r="C81" s="8"/>
      <c r="D81" s="8"/>
      <c r="E81" s="8"/>
      <c r="F81" s="10"/>
      <c r="G81" s="8"/>
      <c r="H81" s="8"/>
      <c r="I81" s="8" t="str" cm="1">
        <f t="array" ref="I81">_xlfn.SWITCH(H81,"XS",1,"S",2,"M",3,"L",5,"XL",8,"XXL",13,"XXXL",21,"")</f>
        <v/>
      </c>
      <c r="J81" s="8"/>
      <c r="K81" s="8"/>
      <c r="L81" s="8"/>
    </row>
    <row r="82" spans="1:12" x14ac:dyDescent="0.3">
      <c r="A82" s="8"/>
      <c r="B82" s="8"/>
      <c r="C82" s="8"/>
      <c r="D82" s="8"/>
      <c r="E82" s="8"/>
      <c r="F82" s="10"/>
      <c r="G82" s="8"/>
      <c r="H82" s="8"/>
      <c r="I82" s="8" t="str" cm="1">
        <f t="array" ref="I82">_xlfn.SWITCH(H82,"XS",1,"S",2,"M",3,"L",5,"XL",8,"XXL",13,"XXXL",21,"")</f>
        <v/>
      </c>
      <c r="J82" s="8"/>
      <c r="K82" s="8"/>
      <c r="L82" s="8"/>
    </row>
    <row r="83" spans="1:12" x14ac:dyDescent="0.3">
      <c r="A83" s="8"/>
      <c r="B83" s="8"/>
      <c r="C83" s="8"/>
      <c r="D83" s="8"/>
      <c r="E83" s="8"/>
      <c r="F83" s="10"/>
      <c r="G83" s="8"/>
      <c r="H83" s="8"/>
      <c r="I83" s="8" t="str" cm="1">
        <f t="array" ref="I83">_xlfn.SWITCH(H83,"XS",1,"S",2,"M",3,"L",5,"XL",8,"XXL",13,"XXXL",21,"")</f>
        <v/>
      </c>
      <c r="J83" s="8"/>
      <c r="K83" s="8"/>
      <c r="L83" s="8"/>
    </row>
    <row r="84" spans="1:12" x14ac:dyDescent="0.3">
      <c r="A84" s="8"/>
      <c r="B84" s="8"/>
      <c r="C84" s="8"/>
      <c r="D84" s="8"/>
      <c r="E84" s="8"/>
      <c r="F84" s="10"/>
      <c r="G84" s="8"/>
      <c r="H84" s="8"/>
      <c r="I84" s="8" t="str" cm="1">
        <f t="array" ref="I84">_xlfn.SWITCH(H84,"XS",1,"S",2,"M",3,"L",5,"XL",8,"XXL",13,"XXXL",21,"")</f>
        <v/>
      </c>
      <c r="J84" s="8"/>
      <c r="K84" s="8"/>
      <c r="L84" s="8"/>
    </row>
    <row r="85" spans="1:12" x14ac:dyDescent="0.3">
      <c r="A85" s="8"/>
      <c r="B85" s="8"/>
      <c r="C85" s="8"/>
      <c r="D85" s="8"/>
      <c r="E85" s="8"/>
      <c r="F85" s="10"/>
      <c r="G85" s="8"/>
      <c r="H85" s="8"/>
      <c r="I85" s="8" t="str" cm="1">
        <f t="array" ref="I85">_xlfn.SWITCH(H85,"XS",1,"S",2,"M",3,"L",5,"XL",8,"XXL",13,"XXXL",21,"")</f>
        <v/>
      </c>
      <c r="J85" s="8"/>
      <c r="K85" s="8"/>
      <c r="L85" s="8"/>
    </row>
    <row r="86" spans="1:12" x14ac:dyDescent="0.3">
      <c r="A86" s="8"/>
      <c r="B86" s="8"/>
      <c r="C86" s="8"/>
      <c r="D86" s="8"/>
      <c r="E86" s="8"/>
      <c r="F86" s="10"/>
      <c r="G86" s="8"/>
      <c r="H86" s="8"/>
      <c r="I86" s="8" t="str" cm="1">
        <f t="array" ref="I86">_xlfn.SWITCH(H86,"XS",1,"S",2,"M",3,"L",5,"XL",8,"XXL",13,"XXXL",21,"")</f>
        <v/>
      </c>
      <c r="J86" s="8"/>
      <c r="K86" s="8"/>
      <c r="L86" s="8"/>
    </row>
    <row r="87" spans="1:12" x14ac:dyDescent="0.3">
      <c r="A87" s="8"/>
      <c r="B87" s="8"/>
      <c r="C87" s="8"/>
      <c r="D87" s="8"/>
      <c r="E87" s="8"/>
      <c r="F87" s="10"/>
      <c r="G87" s="8"/>
      <c r="H87" s="8"/>
      <c r="I87" s="8" t="str" cm="1">
        <f t="array" ref="I87">_xlfn.SWITCH(H87,"XS",1,"S",2,"M",3,"L",5,"XL",8,"XXL",13,"XXXL",21,"")</f>
        <v/>
      </c>
      <c r="J87" s="8"/>
      <c r="K87" s="8"/>
      <c r="L87" s="8"/>
    </row>
    <row r="88" spans="1:12" x14ac:dyDescent="0.3">
      <c r="A88" s="8"/>
      <c r="B88" s="8"/>
      <c r="C88" s="8"/>
      <c r="D88" s="8"/>
      <c r="E88" s="8"/>
      <c r="F88" s="10"/>
      <c r="G88" s="8"/>
      <c r="H88" s="8"/>
      <c r="I88" s="8" t="str" cm="1">
        <f t="array" ref="I88">_xlfn.SWITCH(H88,"XS",1,"S",2,"M",3,"L",5,"XL",8,"XXL",13,"XXXL",21,"")</f>
        <v/>
      </c>
      <c r="J88" s="8"/>
      <c r="K88" s="8"/>
      <c r="L88" s="8"/>
    </row>
    <row r="89" spans="1:12" x14ac:dyDescent="0.3">
      <c r="A89" s="8"/>
      <c r="B89" s="8"/>
      <c r="C89" s="8"/>
      <c r="D89" s="8"/>
      <c r="E89" s="8"/>
      <c r="F89" s="10"/>
      <c r="G89" s="8"/>
      <c r="H89" s="8"/>
      <c r="I89" s="8" t="str" cm="1">
        <f t="array" ref="I89">_xlfn.SWITCH(H89,"XS",1,"S",2,"M",3,"L",5,"XL",8,"XXL",13,"XXXL",21,"")</f>
        <v/>
      </c>
      <c r="J89" s="8"/>
      <c r="K89" s="8"/>
      <c r="L89" s="8"/>
    </row>
    <row r="90" spans="1:12" x14ac:dyDescent="0.3">
      <c r="A90" s="8"/>
      <c r="B90" s="8"/>
      <c r="C90" s="8"/>
      <c r="D90" s="8"/>
      <c r="E90" s="8"/>
      <c r="F90" s="10"/>
      <c r="G90" s="8"/>
      <c r="H90" s="8"/>
      <c r="I90" s="8" t="str" cm="1">
        <f t="array" ref="I90">_xlfn.SWITCH(H90,"XS",1,"S",2,"M",3,"L",5,"XL",8,"XXL",13,"XXXL",21,"")</f>
        <v/>
      </c>
      <c r="J90" s="8"/>
      <c r="K90" s="8"/>
      <c r="L90" s="8"/>
    </row>
    <row r="91" spans="1:12" x14ac:dyDescent="0.3">
      <c r="A91" s="8"/>
      <c r="B91" s="8"/>
      <c r="C91" s="8"/>
      <c r="D91" s="8"/>
      <c r="E91" s="8"/>
      <c r="F91" s="10"/>
      <c r="G91" s="8"/>
      <c r="H91" s="8"/>
      <c r="I91" s="8" t="str" cm="1">
        <f t="array" ref="I91">_xlfn.SWITCH(H91,"XS",1,"S",2,"M",3,"L",5,"XL",8,"XXL",13,"XXXL",21,"")</f>
        <v/>
      </c>
      <c r="J91" s="8"/>
      <c r="K91" s="8"/>
      <c r="L91" s="8"/>
    </row>
    <row r="92" spans="1:12" x14ac:dyDescent="0.3">
      <c r="A92" s="8"/>
      <c r="B92" s="8"/>
      <c r="C92" s="8"/>
      <c r="D92" s="8"/>
      <c r="E92" s="8"/>
      <c r="F92" s="10"/>
      <c r="G92" s="8"/>
      <c r="H92" s="8"/>
      <c r="I92" s="8" t="str" cm="1">
        <f t="array" ref="I92">_xlfn.SWITCH(H92,"XS",1,"S",2,"M",3,"L",5,"XL",8,"XXL",13,"XXXL",21,"")</f>
        <v/>
      </c>
      <c r="J92" s="8"/>
      <c r="K92" s="8"/>
      <c r="L92" s="8"/>
    </row>
    <row r="93" spans="1:12" x14ac:dyDescent="0.3">
      <c r="A93" s="8"/>
      <c r="B93" s="8"/>
      <c r="C93" s="8"/>
      <c r="D93" s="8"/>
      <c r="E93" s="8"/>
      <c r="F93" s="10"/>
      <c r="G93" s="8"/>
      <c r="H93" s="8"/>
      <c r="I93" s="8" t="str" cm="1">
        <f t="array" ref="I93">_xlfn.SWITCH(H93,"XS",1,"S",2,"M",3,"L",5,"XL",8,"XXL",13,"XXXL",21,"")</f>
        <v/>
      </c>
      <c r="J93" s="8"/>
      <c r="K93" s="8"/>
      <c r="L93" s="8"/>
    </row>
    <row r="94" spans="1:12" x14ac:dyDescent="0.3">
      <c r="A94" s="8"/>
      <c r="B94" s="8"/>
      <c r="C94" s="8"/>
      <c r="D94" s="8"/>
      <c r="E94" s="8"/>
      <c r="F94" s="10"/>
      <c r="G94" s="8"/>
      <c r="H94" s="8"/>
      <c r="I94" s="8" t="str" cm="1">
        <f t="array" ref="I94">_xlfn.SWITCH(H94,"XS",1,"S",2,"M",3,"L",5,"XL",8,"XXL",13,"XXXL",21,"")</f>
        <v/>
      </c>
      <c r="J94" s="8"/>
      <c r="K94" s="8"/>
      <c r="L94" s="8"/>
    </row>
    <row r="95" spans="1:12" x14ac:dyDescent="0.3">
      <c r="A95" s="8"/>
      <c r="B95" s="8"/>
      <c r="C95" s="8"/>
      <c r="D95" s="8"/>
      <c r="E95" s="8"/>
      <c r="F95" s="10"/>
      <c r="G95" s="8"/>
      <c r="H95" s="8"/>
      <c r="I95" s="8" t="str" cm="1">
        <f t="array" ref="I95">_xlfn.SWITCH(H95,"XS",1,"S",2,"M",3,"L",5,"XL",8,"XXL",13,"XXXL",21,"")</f>
        <v/>
      </c>
      <c r="J95" s="8"/>
      <c r="K95" s="8"/>
      <c r="L95" s="8"/>
    </row>
    <row r="96" spans="1:12" x14ac:dyDescent="0.3">
      <c r="A96" s="8"/>
      <c r="B96" s="8"/>
      <c r="C96" s="8"/>
      <c r="D96" s="8"/>
      <c r="E96" s="8"/>
      <c r="F96" s="10"/>
      <c r="G96" s="8"/>
      <c r="H96" s="8"/>
      <c r="I96" s="8" t="str" cm="1">
        <f t="array" ref="I96">_xlfn.SWITCH(H96,"XS",1,"S",2,"M",3,"L",5,"XL",8,"XXL",13,"XXXL",21,"")</f>
        <v/>
      </c>
      <c r="J96" s="8"/>
      <c r="K96" s="8"/>
      <c r="L96" s="8"/>
    </row>
    <row r="97" spans="1:12" x14ac:dyDescent="0.3">
      <c r="A97" s="8"/>
      <c r="B97" s="8"/>
      <c r="C97" s="8"/>
      <c r="D97" s="8"/>
      <c r="E97" s="8"/>
      <c r="F97" s="10"/>
      <c r="G97" s="8"/>
      <c r="H97" s="8"/>
      <c r="I97" s="8" t="str" cm="1">
        <f t="array" ref="I97">_xlfn.SWITCH(H97,"XS",1,"S",2,"M",3,"L",5,"XL",8,"XXL",13,"XXXL",21,"")</f>
        <v/>
      </c>
      <c r="J97" s="8"/>
      <c r="K97" s="8"/>
      <c r="L97" s="8"/>
    </row>
    <row r="98" spans="1:12" x14ac:dyDescent="0.3">
      <c r="A98" s="8"/>
      <c r="B98" s="8"/>
      <c r="C98" s="8"/>
      <c r="D98" s="8"/>
      <c r="E98" s="8"/>
      <c r="F98" s="10"/>
      <c r="G98" s="8"/>
      <c r="H98" s="8"/>
      <c r="I98" s="8" t="str" cm="1">
        <f t="array" ref="I98">_xlfn.SWITCH(H98,"XS",1,"S",2,"M",3,"L",5,"XL",8,"XXL",13,"XXXL",21,"")</f>
        <v/>
      </c>
      <c r="J98" s="8"/>
      <c r="K98" s="8"/>
      <c r="L98" s="8"/>
    </row>
    <row r="99" spans="1:12" x14ac:dyDescent="0.3">
      <c r="A99" s="8"/>
      <c r="B99" s="8"/>
      <c r="C99" s="8"/>
      <c r="D99" s="8"/>
      <c r="E99" s="8"/>
      <c r="F99" s="10"/>
      <c r="G99" s="8"/>
      <c r="H99" s="8"/>
      <c r="I99" s="8" t="str" cm="1">
        <f t="array" ref="I99">_xlfn.SWITCH(H99,"XS",1,"S",2,"M",3,"L",5,"XL",8,"XXL",13,"XXXL",21,"")</f>
        <v/>
      </c>
      <c r="J99" s="8"/>
      <c r="K99" s="8"/>
      <c r="L99" s="8"/>
    </row>
    <row r="100" spans="1:12" x14ac:dyDescent="0.3">
      <c r="A100" s="8"/>
      <c r="B100" s="8"/>
      <c r="C100" s="8"/>
      <c r="D100" s="8"/>
      <c r="E100" s="8"/>
      <c r="F100" s="10"/>
      <c r="G100" s="8"/>
      <c r="H100" s="8"/>
      <c r="I100" s="8" t="str" cm="1">
        <f t="array" ref="I100">_xlfn.SWITCH(H100,"XS",1,"S",2,"M",3,"L",5,"XL",8,"XXL",13,"XXXL",21,"")</f>
        <v/>
      </c>
      <c r="J100" s="8"/>
      <c r="K100" s="8"/>
      <c r="L100" s="8"/>
    </row>
    <row r="101" spans="1:12" x14ac:dyDescent="0.3">
      <c r="A101" s="8"/>
      <c r="B101" s="8"/>
      <c r="C101" s="8"/>
      <c r="D101" s="8"/>
      <c r="E101" s="8"/>
      <c r="F101" s="10"/>
      <c r="G101" s="8"/>
      <c r="H101" s="8"/>
      <c r="I101" s="8" t="str" cm="1">
        <f t="array" ref="I101">_xlfn.SWITCH(H101,"XS",1,"S",2,"M",3,"L",5,"XL",8,"XXL",13,"XXXL",21,"")</f>
        <v/>
      </c>
      <c r="J101" s="8"/>
      <c r="K101" s="8"/>
      <c r="L101" s="8"/>
    </row>
    <row r="102" spans="1:12" x14ac:dyDescent="0.3">
      <c r="A102" s="8"/>
      <c r="B102" s="8"/>
      <c r="C102" s="8"/>
      <c r="D102" s="8"/>
      <c r="E102" s="8"/>
      <c r="F102" s="10"/>
      <c r="G102" s="8"/>
      <c r="H102" s="8"/>
      <c r="I102" s="8" t="str" cm="1">
        <f t="array" ref="I102">_xlfn.SWITCH(H102,"XS",1,"S",2,"M",3,"L",5,"XL",8,"XXL",13,"XXXL",21,"")</f>
        <v/>
      </c>
      <c r="J102" s="8"/>
      <c r="K102" s="8"/>
      <c r="L102" s="8"/>
    </row>
    <row r="103" spans="1:12" x14ac:dyDescent="0.3">
      <c r="A103" s="8"/>
      <c r="B103" s="8"/>
      <c r="C103" s="8"/>
      <c r="D103" s="8"/>
      <c r="E103" s="8"/>
      <c r="F103" s="10"/>
      <c r="G103" s="8"/>
      <c r="H103" s="8"/>
      <c r="I103" s="8" t="str" cm="1">
        <f t="array" ref="I103">_xlfn.SWITCH(H103,"XS",1,"S",2,"M",3,"L",5,"XL",8,"XXL",13,"XXXL",21,"")</f>
        <v/>
      </c>
      <c r="J103" s="8"/>
      <c r="K103" s="8"/>
      <c r="L103" s="8"/>
    </row>
    <row r="104" spans="1:12" x14ac:dyDescent="0.3">
      <c r="A104" s="8"/>
      <c r="B104" s="8"/>
      <c r="C104" s="8"/>
      <c r="D104" s="8"/>
      <c r="E104" s="8"/>
      <c r="F104" s="10"/>
      <c r="G104" s="8"/>
      <c r="H104" s="8"/>
      <c r="I104" s="8" t="str" cm="1">
        <f t="array" ref="I104">_xlfn.SWITCH(H104,"XS",1,"S",2,"M",3,"L",5,"XL",8,"XXL",13,"XXXL",21,"")</f>
        <v/>
      </c>
      <c r="J104" s="8"/>
      <c r="K104" s="8"/>
      <c r="L104" s="8"/>
    </row>
    <row r="105" spans="1:12" x14ac:dyDescent="0.3">
      <c r="A105" s="8"/>
      <c r="B105" s="8"/>
      <c r="C105" s="8"/>
      <c r="D105" s="8"/>
      <c r="E105" s="8"/>
      <c r="F105" s="10"/>
      <c r="G105" s="8"/>
      <c r="H105" s="8"/>
      <c r="I105" s="8" t="str" cm="1">
        <f t="array" ref="I105">_xlfn.SWITCH(H105,"XS",1,"S",2,"M",3,"L",5,"XL",8,"XXL",13,"XXXL",21,"")</f>
        <v/>
      </c>
      <c r="J105" s="8"/>
      <c r="K105" s="8"/>
      <c r="L105" s="8"/>
    </row>
    <row r="106" spans="1:12" x14ac:dyDescent="0.3">
      <c r="A106" s="8"/>
      <c r="B106" s="8"/>
      <c r="C106" s="8"/>
      <c r="D106" s="8"/>
      <c r="E106" s="8"/>
      <c r="F106" s="10"/>
      <c r="G106" s="8"/>
      <c r="H106" s="8"/>
      <c r="I106" s="8" t="str" cm="1">
        <f t="array" ref="I106">_xlfn.SWITCH(H106,"XS",1,"S",2,"M",3,"L",5,"XL",8,"XXL",13,"XXXL",21,"")</f>
        <v/>
      </c>
      <c r="J106" s="8"/>
      <c r="K106" s="8"/>
      <c r="L106" s="8"/>
    </row>
    <row r="107" spans="1:12" x14ac:dyDescent="0.3">
      <c r="A107" s="8"/>
      <c r="B107" s="8"/>
      <c r="C107" s="8"/>
      <c r="D107" s="8"/>
      <c r="E107" s="8"/>
      <c r="F107" s="10"/>
      <c r="G107" s="8"/>
      <c r="H107" s="8"/>
      <c r="I107" s="8" t="str" cm="1">
        <f t="array" ref="I107">_xlfn.SWITCH(H107,"XS",1,"S",2,"M",3,"L",5,"XL",8,"XXL",13,"XXXL",21,"")</f>
        <v/>
      </c>
      <c r="J107" s="8"/>
      <c r="K107" s="8"/>
      <c r="L107" s="8"/>
    </row>
    <row r="108" spans="1:12" x14ac:dyDescent="0.3">
      <c r="A108" s="8"/>
      <c r="B108" s="8"/>
      <c r="C108" s="8"/>
      <c r="D108" s="8"/>
      <c r="E108" s="8"/>
      <c r="F108" s="10"/>
      <c r="G108" s="8"/>
      <c r="H108" s="8"/>
      <c r="I108" s="8" t="str" cm="1">
        <f t="array" ref="I108">_xlfn.SWITCH(H108,"XS",1,"S",2,"M",3,"L",5,"XL",8,"XXL",13,"XXXL",21,"")</f>
        <v/>
      </c>
      <c r="J108" s="8"/>
      <c r="K108" s="8"/>
      <c r="L108" s="8"/>
    </row>
    <row r="109" spans="1:12" x14ac:dyDescent="0.3">
      <c r="A109" s="8"/>
      <c r="B109" s="8"/>
      <c r="C109" s="8"/>
      <c r="D109" s="8"/>
      <c r="E109" s="8"/>
      <c r="F109" s="10"/>
      <c r="G109" s="8"/>
      <c r="H109" s="8"/>
      <c r="I109" s="8" t="str" cm="1">
        <f t="array" ref="I109">_xlfn.SWITCH(H109,"XS",1,"S",2,"M",3,"L",5,"XL",8,"XXL",13,"XXXL",21,"")</f>
        <v/>
      </c>
      <c r="J109" s="8"/>
      <c r="K109" s="8"/>
      <c r="L109" s="8"/>
    </row>
    <row r="110" spans="1:12" x14ac:dyDescent="0.3">
      <c r="A110" s="8"/>
      <c r="B110" s="8"/>
      <c r="C110" s="8"/>
      <c r="D110" s="8"/>
      <c r="E110" s="8"/>
      <c r="F110" s="10"/>
      <c r="G110" s="8"/>
      <c r="H110" s="8"/>
      <c r="I110" s="8" t="str" cm="1">
        <f t="array" ref="I110">_xlfn.SWITCH(H110,"XS",1,"S",2,"M",3,"L",5,"XL",8,"XXL",13,"XXXL",21,"")</f>
        <v/>
      </c>
      <c r="J110" s="8"/>
      <c r="K110" s="8"/>
      <c r="L110" s="8"/>
    </row>
    <row r="111" spans="1:12" x14ac:dyDescent="0.3">
      <c r="A111" s="8"/>
      <c r="B111" s="8"/>
      <c r="C111" s="8"/>
      <c r="D111" s="8"/>
      <c r="E111" s="8"/>
      <c r="F111" s="10"/>
      <c r="G111" s="8"/>
      <c r="H111" s="8"/>
      <c r="I111" s="8" t="str" cm="1">
        <f t="array" ref="I111">_xlfn.SWITCH(H111,"XS",1,"S",2,"M",3,"L",5,"XL",8,"XXL",13,"XXXL",21,"")</f>
        <v/>
      </c>
      <c r="J111" s="8"/>
      <c r="K111" s="8"/>
      <c r="L111" s="8"/>
    </row>
    <row r="112" spans="1:12" x14ac:dyDescent="0.3">
      <c r="A112" s="8"/>
      <c r="B112" s="8"/>
      <c r="C112" s="8"/>
      <c r="D112" s="8"/>
      <c r="E112" s="8"/>
      <c r="F112" s="10"/>
      <c r="G112" s="8"/>
      <c r="H112" s="8"/>
      <c r="I112" s="8" t="str" cm="1">
        <f t="array" ref="I112">_xlfn.SWITCH(H112,"XS",1,"S",2,"M",3,"L",5,"XL",8,"XXL",13,"XXXL",21,"")</f>
        <v/>
      </c>
      <c r="J112" s="8"/>
      <c r="K112" s="8"/>
      <c r="L112" s="8"/>
    </row>
  </sheetData>
  <autoFilter ref="E1:E123" xr:uid="{00000000-0001-0000-0000-000000000000}"/>
  <phoneticPr fontId="4" type="noConversion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89B43-8ACA-4B5D-A185-0146C384427F}">
  <dimension ref="A1:L10"/>
  <sheetViews>
    <sheetView tabSelected="1" zoomScale="103" workbookViewId="0">
      <selection activeCell="V12" sqref="V12"/>
    </sheetView>
  </sheetViews>
  <sheetFormatPr defaultRowHeight="14.4" x14ac:dyDescent="0.3"/>
  <cols>
    <col min="1" max="1" width="4.88671875" style="2" bestFit="1" customWidth="1"/>
    <col min="2" max="2" width="10.88671875" style="2" bestFit="1" customWidth="1"/>
    <col min="3" max="3" width="9.77734375" style="5" customWidth="1"/>
    <col min="4" max="4" width="10.77734375" style="2" customWidth="1"/>
    <col min="5" max="5" width="8.88671875" style="2" customWidth="1"/>
  </cols>
  <sheetData>
    <row r="1" spans="1:12" ht="43.2" x14ac:dyDescent="0.3">
      <c r="A1" s="2" t="s">
        <v>12</v>
      </c>
      <c r="B1" s="2" t="s">
        <v>74</v>
      </c>
      <c r="C1" s="1" t="s">
        <v>13</v>
      </c>
      <c r="D1" s="1" t="s">
        <v>14</v>
      </c>
      <c r="E1" s="1" t="s">
        <v>15</v>
      </c>
    </row>
    <row r="2" spans="1:12" x14ac:dyDescent="0.3">
      <c r="A2" s="2">
        <v>0</v>
      </c>
      <c r="B2" s="14">
        <v>46237</v>
      </c>
      <c r="C2" s="4">
        <f>82-SUM(E$2:E2)</f>
        <v>82</v>
      </c>
      <c r="D2" s="1">
        <f xml:space="preserve"> 82*(1-1/8*A2)</f>
        <v>82</v>
      </c>
      <c r="E2" s="1">
        <v>0</v>
      </c>
    </row>
    <row r="3" spans="1:12" x14ac:dyDescent="0.3">
      <c r="A3" s="2">
        <v>1</v>
      </c>
      <c r="B3" s="14">
        <v>46238</v>
      </c>
      <c r="C3" s="4">
        <f>82-SUM(E$2:E3)</f>
        <v>74</v>
      </c>
      <c r="D3" s="1">
        <f t="shared" ref="D3:D10" si="0" xml:space="preserve"> 82*(1-1/8*A3)</f>
        <v>71.75</v>
      </c>
      <c r="E3" s="2">
        <v>8</v>
      </c>
    </row>
    <row r="4" spans="1:12" x14ac:dyDescent="0.3">
      <c r="A4" s="2">
        <v>2</v>
      </c>
      <c r="B4" s="14">
        <v>46239</v>
      </c>
      <c r="C4" s="4">
        <f>82-SUM(E$2:E4)</f>
        <v>66</v>
      </c>
      <c r="D4" s="1">
        <f t="shared" si="0"/>
        <v>61.5</v>
      </c>
      <c r="E4" s="2">
        <v>8</v>
      </c>
      <c r="L4" s="3"/>
    </row>
    <row r="5" spans="1:12" x14ac:dyDescent="0.3">
      <c r="A5" s="2">
        <v>3</v>
      </c>
      <c r="B5" s="14">
        <v>46240</v>
      </c>
      <c r="C5" s="4">
        <f>82-SUM(E$2:E5)</f>
        <v>66</v>
      </c>
      <c r="D5" s="1">
        <f t="shared" si="0"/>
        <v>51.25</v>
      </c>
      <c r="E5" s="2">
        <v>0</v>
      </c>
    </row>
    <row r="6" spans="1:12" x14ac:dyDescent="0.3">
      <c r="A6" s="2">
        <v>4</v>
      </c>
      <c r="B6" s="14">
        <v>46241</v>
      </c>
      <c r="C6" s="4">
        <f>82-SUM(E$2:E6)</f>
        <v>66</v>
      </c>
      <c r="D6" s="1">
        <f t="shared" si="0"/>
        <v>41</v>
      </c>
      <c r="E6" s="2">
        <v>0</v>
      </c>
    </row>
    <row r="7" spans="1:12" x14ac:dyDescent="0.3">
      <c r="A7" s="2">
        <v>5</v>
      </c>
      <c r="B7" s="14">
        <v>46244</v>
      </c>
      <c r="C7" s="4">
        <f>82-SUM(E$2:E7)</f>
        <v>66</v>
      </c>
      <c r="D7" s="1">
        <f t="shared" si="0"/>
        <v>30.75</v>
      </c>
      <c r="E7" s="2">
        <v>0</v>
      </c>
    </row>
    <row r="8" spans="1:12" x14ac:dyDescent="0.3">
      <c r="A8" s="2">
        <v>6</v>
      </c>
      <c r="B8" s="14">
        <v>46245</v>
      </c>
      <c r="C8" s="4">
        <f>82-SUM(E$2:E8)</f>
        <v>66</v>
      </c>
      <c r="D8" s="1">
        <f t="shared" si="0"/>
        <v>20.5</v>
      </c>
      <c r="E8" s="2">
        <v>0</v>
      </c>
    </row>
    <row r="9" spans="1:12" x14ac:dyDescent="0.3">
      <c r="A9" s="2">
        <v>7</v>
      </c>
      <c r="B9" s="14">
        <v>46246</v>
      </c>
      <c r="C9" s="4">
        <f>82-SUM(E$2:E9)</f>
        <v>66</v>
      </c>
      <c r="D9" s="1">
        <f t="shared" si="0"/>
        <v>10.25</v>
      </c>
      <c r="E9" s="2">
        <v>0</v>
      </c>
    </row>
    <row r="10" spans="1:12" x14ac:dyDescent="0.3">
      <c r="A10" s="2">
        <v>8</v>
      </c>
      <c r="B10" s="14">
        <v>46247</v>
      </c>
      <c r="C10" s="4">
        <f>82-SUM(E$2:E10)</f>
        <v>66</v>
      </c>
      <c r="D10" s="1">
        <f t="shared" si="0"/>
        <v>0</v>
      </c>
      <c r="E10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Sprint 01</vt:lpstr>
      <vt:lpstr>Sprint 01 Burndown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sayanb0978@gmail.com</cp:lastModifiedBy>
  <dcterms:created xsi:type="dcterms:W3CDTF">2026-01-01T14:00:11Z</dcterms:created>
  <dcterms:modified xsi:type="dcterms:W3CDTF">2026-08-04T17:11:32Z</dcterms:modified>
</cp:coreProperties>
</file>