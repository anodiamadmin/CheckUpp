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50133B31-C3F8-4D0A-8A06-5E3644B59B08}" xr6:coauthVersionLast="47" xr6:coauthVersionMax="47" xr10:uidLastSave="{00000000-0000-0000-0000-000000000000}"/>
  <bookViews>
    <workbookView xWindow="-108" yWindow="-108" windowWidth="23256" windowHeight="12456" firstSheet="2" activeTab="7" xr2:uid="{00000000-000D-0000-FFFF-FFFF00000000}"/>
  </bookViews>
  <sheets>
    <sheet name="Sprint 01" sheetId="1" r:id="rId1"/>
    <sheet name="Sprint 01 Burndown" sheetId="4" r:id="rId2"/>
    <sheet name="Sprint 02" sheetId="7" r:id="rId3"/>
    <sheet name="Sprint 02 Burndown" sheetId="6" r:id="rId4"/>
    <sheet name="Sprint 03" sheetId="5" r:id="rId5"/>
    <sheet name="Sprint 03 Burndown" sheetId="8" r:id="rId6"/>
    <sheet name="Sprint 04" sheetId="9" r:id="rId7"/>
    <sheet name="Sprint 04 Burndown" sheetId="10" r:id="rId8"/>
  </sheets>
  <definedNames>
    <definedName name="_xlnm._FilterDatabase" localSheetId="0" hidden="1">'Sprint 01'!$E$1:$E$112</definedName>
    <definedName name="_xlnm._FilterDatabase" localSheetId="4" hidden="1">'Sprint 03'!$J$1:$J$103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8" l="1"/>
  <c r="D4" i="8"/>
  <c r="D5" i="8"/>
  <c r="D6" i="8"/>
  <c r="D7" i="8"/>
  <c r="D8" i="8"/>
  <c r="D9" i="8"/>
  <c r="D10" i="8"/>
  <c r="D11" i="8"/>
  <c r="D12" i="8"/>
  <c r="D13" i="8"/>
  <c r="D14" i="8"/>
  <c r="D2" i="8"/>
  <c r="C3" i="8"/>
  <c r="C4" i="8"/>
  <c r="C5" i="8"/>
  <c r="C6" i="8"/>
  <c r="C7" i="8"/>
  <c r="C8" i="8"/>
  <c r="C9" i="8"/>
  <c r="C10" i="8"/>
  <c r="C11" i="8"/>
  <c r="C12" i="8"/>
  <c r="C13" i="8"/>
  <c r="C14" i="8"/>
  <c r="C2" i="8"/>
  <c r="I9" i="5" a="1"/>
  <c r="I9" i="5" s="1"/>
  <c r="I8" i="5" a="1"/>
  <c r="I8" i="5" s="1"/>
  <c r="I7" i="5" a="1"/>
  <c r="I7" i="5" s="1"/>
  <c r="I6" i="5" a="1"/>
  <c r="I6" i="5" s="1"/>
  <c r="I15" i="5" a="1"/>
  <c r="I15" i="5" s="1"/>
  <c r="I13" i="5" a="1"/>
  <c r="I13" i="5" s="1"/>
  <c r="I110" i="7"/>
  <c r="I110" i="7" a="1"/>
  <c r="I109" i="7"/>
  <c r="I109" i="7" a="1"/>
  <c r="I108" i="7" a="1"/>
  <c r="I108" i="7" s="1"/>
  <c r="I107" i="7" a="1"/>
  <c r="I107" i="7" s="1"/>
  <c r="I106" i="7"/>
  <c r="I106" i="7" a="1"/>
  <c r="I105" i="7"/>
  <c r="I105" i="7" a="1"/>
  <c r="I104" i="7"/>
  <c r="I104" i="7" a="1"/>
  <c r="I103" i="7"/>
  <c r="I103" i="7" a="1"/>
  <c r="I102" i="7"/>
  <c r="I102" i="7" a="1"/>
  <c r="I101" i="7"/>
  <c r="I101" i="7" a="1"/>
  <c r="I100" i="7"/>
  <c r="I100" i="7" a="1"/>
  <c r="I99" i="7"/>
  <c r="I99" i="7" a="1"/>
  <c r="I98" i="7"/>
  <c r="I98" i="7" a="1"/>
  <c r="I97" i="7"/>
  <c r="I97" i="7" a="1"/>
  <c r="I96" i="7"/>
  <c r="I96" i="7" a="1"/>
  <c r="I95" i="7"/>
  <c r="I95" i="7" a="1"/>
  <c r="I94" i="7"/>
  <c r="I94" i="7" a="1"/>
  <c r="I93" i="7"/>
  <c r="I93" i="7" a="1"/>
  <c r="I92" i="7"/>
  <c r="I92" i="7" a="1"/>
  <c r="I91" i="7"/>
  <c r="I91" i="7" a="1"/>
  <c r="I90" i="7"/>
  <c r="I90" i="7" a="1"/>
  <c r="I89" i="7"/>
  <c r="I89" i="7" a="1"/>
  <c r="I88" i="7"/>
  <c r="I88" i="7" a="1"/>
  <c r="I87" i="7"/>
  <c r="I87" i="7" a="1"/>
  <c r="I86" i="7"/>
  <c r="I86" i="7" a="1"/>
  <c r="I85" i="7"/>
  <c r="I85" i="7" a="1"/>
  <c r="I84" i="7"/>
  <c r="I84" i="7" a="1"/>
  <c r="I83" i="7"/>
  <c r="I83" i="7" a="1"/>
  <c r="I82" i="7"/>
  <c r="I82" i="7" a="1"/>
  <c r="I81" i="7"/>
  <c r="I81" i="7" a="1"/>
  <c r="I80" i="7"/>
  <c r="I80" i="7" a="1"/>
  <c r="I79" i="7"/>
  <c r="I79" i="7" a="1"/>
  <c r="I78" i="7"/>
  <c r="I78" i="7" a="1"/>
  <c r="I77" i="7"/>
  <c r="I77" i="7" a="1"/>
  <c r="I76" i="7"/>
  <c r="I76" i="7" a="1"/>
  <c r="I75" i="7"/>
  <c r="I75" i="7" a="1"/>
  <c r="I74" i="7"/>
  <c r="I74" i="7" a="1"/>
  <c r="I73" i="7"/>
  <c r="I73" i="7" a="1"/>
  <c r="I72" i="7"/>
  <c r="I72" i="7" a="1"/>
  <c r="I71" i="7"/>
  <c r="I71" i="7" a="1"/>
  <c r="I70" i="7"/>
  <c r="I70" i="7" a="1"/>
  <c r="I69" i="7"/>
  <c r="I69" i="7" a="1"/>
  <c r="I68" i="7"/>
  <c r="I68" i="7" a="1"/>
  <c r="I67" i="7"/>
  <c r="I67" i="7" a="1"/>
  <c r="I66" i="7"/>
  <c r="I66" i="7" a="1"/>
  <c r="I65" i="7" a="1"/>
  <c r="I65" i="7" s="1"/>
  <c r="I64" i="7"/>
  <c r="I64" i="7" a="1"/>
  <c r="I63" i="7"/>
  <c r="I63" i="7" a="1"/>
  <c r="I62" i="7" a="1"/>
  <c r="I62" i="7" s="1"/>
  <c r="I61" i="7"/>
  <c r="I61" i="7" a="1"/>
  <c r="I60" i="7"/>
  <c r="I60" i="7" a="1"/>
  <c r="I59" i="7"/>
  <c r="I59" i="7" a="1"/>
  <c r="I58" i="7"/>
  <c r="I58" i="7" a="1"/>
  <c r="I57" i="7"/>
  <c r="I57" i="7" a="1"/>
  <c r="I56" i="7"/>
  <c r="I56" i="7" a="1"/>
  <c r="I55" i="7"/>
  <c r="I55" i="7" a="1"/>
  <c r="I54" i="7"/>
  <c r="I54" i="7" a="1"/>
  <c r="I53" i="7"/>
  <c r="I53" i="7" a="1"/>
  <c r="I52" i="7"/>
  <c r="I52" i="7" a="1"/>
  <c r="I51" i="7"/>
  <c r="I51" i="7" a="1"/>
  <c r="I50" i="7"/>
  <c r="I50" i="7" a="1"/>
  <c r="I49" i="7"/>
  <c r="I49" i="7" a="1"/>
  <c r="I48" i="7"/>
  <c r="I48" i="7" a="1"/>
  <c r="I47" i="7" a="1"/>
  <c r="I47" i="7" s="1"/>
  <c r="I46" i="7"/>
  <c r="I46" i="7" a="1"/>
  <c r="I45" i="7"/>
  <c r="I45" i="7" a="1"/>
  <c r="I44" i="7"/>
  <c r="I44" i="7" a="1"/>
  <c r="I43" i="7"/>
  <c r="I43" i="7" a="1"/>
  <c r="I42" i="7"/>
  <c r="I42" i="7" a="1"/>
  <c r="I41" i="7"/>
  <c r="I41" i="7" a="1"/>
  <c r="I40" i="7"/>
  <c r="I40" i="7" a="1"/>
  <c r="I39" i="7" a="1"/>
  <c r="I39" i="7" s="1"/>
  <c r="I38" i="7"/>
  <c r="I38" i="7" a="1"/>
  <c r="I37" i="7"/>
  <c r="I37" i="7" a="1"/>
  <c r="I36" i="7"/>
  <c r="I36" i="7" a="1"/>
  <c r="I35" i="7" a="1"/>
  <c r="I35" i="7" s="1"/>
  <c r="I34" i="7"/>
  <c r="I34" i="7" a="1"/>
  <c r="I33" i="7"/>
  <c r="I33" i="7" a="1"/>
  <c r="I32" i="7"/>
  <c r="I32" i="7" a="1"/>
  <c r="I31" i="7"/>
  <c r="I31" i="7" a="1"/>
  <c r="I30" i="7"/>
  <c r="I30" i="7" a="1"/>
  <c r="I29" i="7"/>
  <c r="I29" i="7" a="1"/>
  <c r="I28" i="7"/>
  <c r="I28" i="7" a="1"/>
  <c r="I27" i="7"/>
  <c r="I27" i="7" a="1"/>
  <c r="I26" i="7"/>
  <c r="I26" i="7" a="1"/>
  <c r="I25" i="7"/>
  <c r="I25" i="7" a="1"/>
  <c r="I24" i="7"/>
  <c r="I24" i="7" a="1"/>
  <c r="I21" i="7"/>
  <c r="I21" i="7" a="1"/>
  <c r="I20" i="7"/>
  <c r="I20" i="7" a="1"/>
  <c r="I19" i="7"/>
  <c r="I19" i="7" a="1"/>
  <c r="I18" i="7"/>
  <c r="I18" i="7" a="1"/>
  <c r="I17" i="7"/>
  <c r="I17" i="7" a="1"/>
  <c r="I16" i="7"/>
  <c r="I16" i="7" a="1"/>
  <c r="I15" i="7"/>
  <c r="I15" i="7" a="1"/>
  <c r="I14" i="7"/>
  <c r="I14" i="7" a="1"/>
  <c r="I13" i="7"/>
  <c r="I13" i="7" a="1"/>
  <c r="I12" i="7"/>
  <c r="I12" i="7" a="1"/>
  <c r="I11" i="7"/>
  <c r="I11" i="7" a="1"/>
  <c r="I10" i="7"/>
  <c r="I10" i="7" a="1"/>
  <c r="I9" i="7"/>
  <c r="I9" i="7" a="1"/>
  <c r="I8" i="7"/>
  <c r="I8" i="7" a="1"/>
  <c r="I7" i="7"/>
  <c r="I7" i="7" a="1"/>
  <c r="I6" i="7"/>
  <c r="I6" i="7" a="1"/>
  <c r="I5" i="7"/>
  <c r="I5" i="7" a="1"/>
  <c r="I4" i="7"/>
  <c r="I4" i="7" a="1"/>
  <c r="I3" i="7"/>
  <c r="I3" i="7" a="1"/>
  <c r="I2" i="7"/>
  <c r="I2" i="7" a="1"/>
  <c r="I3" i="5" a="1"/>
  <c r="I3" i="5" s="1"/>
  <c r="I4" i="5" a="1"/>
  <c r="I4" i="5" s="1"/>
  <c r="I5" i="5" a="1"/>
  <c r="I5" i="5" s="1"/>
  <c r="I10" i="5" a="1"/>
  <c r="I10" i="5" s="1"/>
  <c r="I11" i="5" a="1"/>
  <c r="I11" i="5" s="1"/>
  <c r="I12" i="5" a="1"/>
  <c r="I12" i="5" s="1"/>
  <c r="I14" i="5" a="1"/>
  <c r="I14" i="5" s="1"/>
  <c r="D3" i="6"/>
  <c r="D4" i="6"/>
  <c r="D5" i="6"/>
  <c r="D6" i="6"/>
  <c r="D7" i="6"/>
  <c r="D8" i="6"/>
  <c r="D9" i="6"/>
  <c r="D10" i="6"/>
  <c r="D2" i="6"/>
  <c r="C3" i="6"/>
  <c r="C4" i="6"/>
  <c r="C5" i="6"/>
  <c r="C6" i="6"/>
  <c r="C7" i="6"/>
  <c r="C8" i="6"/>
  <c r="C9" i="6"/>
  <c r="C10" i="6"/>
  <c r="C2" i="6"/>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4" i="5" a="1"/>
  <c r="I24" i="5" s="1"/>
  <c r="I23" i="5" a="1"/>
  <c r="I23" i="5" s="1"/>
  <c r="I22" i="5" a="1"/>
  <c r="I22" i="5" s="1"/>
  <c r="I21" i="5" a="1"/>
  <c r="I21" i="5" s="1"/>
  <c r="I20" i="5" a="1"/>
  <c r="I20" i="5" s="1"/>
  <c r="I19" i="5" a="1"/>
  <c r="I19" i="5" s="1"/>
  <c r="I18" i="5" a="1"/>
  <c r="I18" i="5" s="1"/>
  <c r="I17" i="5" a="1"/>
  <c r="I17"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<sst xmlns="http://schemas.openxmlformats.org/spreadsheetml/2006/main" count="459" uniqueCount="140">
  <si>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</si>
  <si>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</si>
  <si>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</si>
  <si>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</si>
  <si>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</si>
  <si>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</si>
  <si>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</si>
  <si>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</si>
  <si>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</si>
  <si>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</si>
  <si>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</si>
  <si>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</si>
  <si>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</si>
  <si>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</si>
  <si>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</si>
  <si>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</si>
  <si>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</si>
  <si>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</si>
  <si>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</si>
  <si>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</si>
  <si>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</si>
  <si>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</si>
  <si>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</si>
  <si>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</si>
  <si>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</si>
  <si>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</si>
  <si>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</si>
  <si>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</si>
  <si>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</si>
  <si>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</si>
  <si>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</si>
  <si>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</si>
  <si>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</si>
  <si>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</si>
  <si>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</si>
  <si>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</si>
  <si>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</si>
  <si>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</si>
  <si>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</si>
  <si>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</si>
  <si>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</si>
  <si>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</si>
  <si>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</si>
  <si>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</si>
  <si>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</si>
  <si>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</si>
  <si>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</si>
  <si>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</si>
  <si>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</si>
  <si>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</si>
  <si>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</si>
  <si>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</si>
  <si>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</si>
  <si>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</si>
  <si>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</si>
  <si>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</si>
  <si>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</si>
  <si>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</si>
  <si>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</si>
  <si>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</si>
  <si>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</si>
  <si>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</si>
  <si>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</si>
  <si>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</si>
  <si>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</si>
  <si>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</si>
  <si>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</si>
  <si>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</si>
  <si>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</si>
  <si>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</si>
  <si>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</si>
  <si>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</si>
  <si>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</si>
  <si>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</si>
  <si>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</si>
  <si>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</si>
  <si>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</si>
  <si>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</si>
  <si>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</si>
  <si>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OCR Processing, Frame Processor &amp; Form Auto-Fill</t>
  </si>
  <si>
    <t>Diabetes Test</t>
  </si>
  <si>
    <t>Single-Number OCR, Contextual Selection &amp; Auto-Fill</t>
  </si>
  <si>
    <t>Contrast Pre-Processing, Regex Extraction &amp; Auto-Fill</t>
  </si>
  <si>
    <t>Live-scan digital blood pressure monitor</t>
  </si>
  <si>
    <t>Live-scan digital glucometer</t>
  </si>
  <si>
    <t>Live-scan digital weighing scale</t>
  </si>
  <si>
    <t>Shared Scanner</t>
  </si>
  <si>
    <t>Shared camera scanning</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</si>
  <si>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</si>
  <si>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</si>
  <si>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</si>
  <si>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</si>
  <si>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</si>
  <si>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</si>
  <si>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</si>
  <si>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</si>
  <si>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</si>
  <si>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</si>
  <si>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</si>
  <si>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</si>
  <si>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</si>
  <si>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</si>
  <si>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</si>
  <si>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</si>
  <si>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</si>
  <si>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</si>
  <si>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t>19.3, 20.3, 20.5</t>
  </si>
  <si>
    <t>19.3, 20.3, 20.6</t>
  </si>
  <si>
    <r>
      <rPr>
        <b/>
        <sz val="11"/>
        <color theme="1"/>
        <rFont val="Calibri"/>
        <family val="2"/>
        <scheme val="minor"/>
      </rPr>
      <t>Implement Contextual Reading-Type Modal and Manual Fallback UI with Jest TDD</t>
    </r>
    <r>
      <rPr>
        <sz val="11"/>
        <color theme="1"/>
        <rFont val="Calibri"/>
        <family val="2"/>
        <scheme val="minor"/>
      </rPr>
      <t xml:space="preserve">
Target Files:
checkupp-mobile/components/modals/ReadingTypeModal.tsx
checkupp-mobile/components/camera/ScanMonitorModal.tsx
checkupp-mobile/components/screening/CardiovascularHealth.tsx
checkupp-mobile/components/screening/DiabetesCheck.tsx
checkupp-mobile/test/DiabetesTest/scan-glucometer-modal.test.ts
checkupp-mobile/test/Scanner/scan-fallback-ui.test.ts
checkupp-mobile/test/DiabetesTest/save-reading-commit.test.ts
Description:
1. After a successful glucose scan, render a native bottom-sheet modal asking "What type of reading is this?" with three options: Fasting Glucose, Random Glucose, Post-Meal Glucose.
2. Verify each modal option, when tapped, routes the scanned numeric value into the correct corresponding form field and closes the modal.
3. Verify the modal does not appear for Blood Pressure or Weight scans (negative test — confirms no cross-contamination of the modal pattern into flows that shouldn't have it, per US 20.4 AC #3).
4. Verify a persistent "Cancel / Enter Manually" button is present and tappable on the camera scan screen at all times — immediately on open, mid-scan, and independent of timeout state (not just after a timeout fires).
5. Verify that upon successful multi-frame lock and auto-fill, a toast/banner renders with the exact text "Numbers scanned successfully. Please verify against your device." for the Cardiovascular (BP) flow.
6. Add Jest tests for: modal-option-to-field routing (all 3 branches), modal absence on BP/Weight flows, fallback button visibility across scan lifecycle states (open/scanning/timeout/error), exact toast copy assertion, save-commit success path, and save-blocked-on-empty-fields path.
Acceptance Criteria Covered: US 19.3 – Human-in-the-Loop Validation (toast), Fallback (manual entry); US 20.3 – Contextual UI Modal, Auto-Fill Execution, Validation (Save Reading commit); US 20.4 – Auto-Fill Execution (negative: no modal)"</t>
    </r>
  </si>
  <si>
    <r>
      <rPr>
        <b/>
        <sz val="11"/>
        <color theme="1"/>
        <rFont val="Calibri"/>
        <family val="2"/>
        <scheme val="minor"/>
      </rPr>
      <t xml:space="preserve">Implement Scan Trigger Buttons in Cardiovascular and Diabetes Forms with Jest TDD
</t>
    </r>
    <r>
      <rPr>
        <sz val="11"/>
        <color theme="1"/>
        <rFont val="Calibri"/>
        <family val="2"/>
        <scheme val="minor"/>
      </rPr>
      <t xml:space="preserve">
Target Files:
checkupp-mobile/components/screening/CardiovascularHealth.tsx
checkupp-mobile/components/screening/DiabetesCheck.tsx
checkupp-mobile/test/CardiovascularReading/scan-trigger-button.test.ts
checkupp-mobile/test/DiabetesTest/scan-trigger-buttons.test.ts
Description:
Render a single "Scan Sphygmomanometer" (or "Scan Monitor") button in the Cardiovascular Health form, positioned next to/near the manual Blood Pressure input fields.
Render two distinct buttons in the Diabetes Test form: "Scan Glucometer" (near the Blood Glucose section) and "Scan Weighing Scale" (near the Weight input field).
Verify tapping "Scan Sphygmomanometer" opens the camera scan modal configured for the BP scanner flow (correct target bounding box copy, correct scanner module wired in).
Verify tapping "Scan Glucometer" opens the camera scan modal configured for the glucose scanner flow.
Verify tapping "Scan Weighing Scale" opens the camera scan modal configured for the weight scanner flow.
Verify each button is disabled or hidden appropriately if camera permission has been permanently denied (graceful degradation — falls back to manual entry only, per shared permission handling).
Verify each button has an accessible label/role matching its visible text (for screen-reader support).
Verify only one scan modal can be open at a time — tapping a second scan button while one modal is already open does not stack or duplicate modals.
Add Jest tests for: button presence/visibility per form, correct scanner-flow wiring per button tap, correct modal title/copy per flow, permission-denied disabled state, and accessibility label assertions.
Acceptance Criteria Covered: US 19.3 – Trigger (Scan Monitor icon/button visible); US 20.3 – Trigger (Scan Glucometer button visible); US 20.4 – Trigger (Scan Scale icon visible)</t>
    </r>
  </si>
  <si>
    <r>
      <rPr>
        <b/>
        <sz val="11"/>
        <color theme="1"/>
        <rFont val="Calibri"/>
        <family val="2"/>
        <scheme val="minor"/>
      </rPr>
      <t>Implement Shared Camera Performance, Permission, Timeout Handling &amp; Privacy with Jest TDD</t>
    </r>
    <r>
      <rPr>
        <sz val="11"/>
        <color theme="1"/>
        <rFont val="Calibri"/>
        <family val="2"/>
        <scheme val="minor"/>
      </rPr>
      <t xml:space="preserve">
Target Files:
• checkupp-mobile/lib/scanner/deviceScanner.ts
• checkupp-mobile/components/camera/ScanMonitorModal.tsx
• checkupp-mobile-main/test/scanner/scanner-edge-cases.test.ts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9. Add Jest tests verifying that toggling the Torch/Flashlight UI control updates the native camera torch state property correctly.
10. Add a test assertion verifying that scanner execution operates 100% locally via on-device ML Kit with zero outbound HTTP/network requests initiated during the scan cycle.
Acceptance Criteria Covered: US 19.3 – Permissions, Performance, Timeout; US 20.3 – Timeout; US 20.4 – Timeout</t>
    </r>
  </si>
  <si>
    <r>
      <rPr>
        <b/>
        <sz val="11"/>
        <color theme="1"/>
        <rFont val="Calibri"/>
        <family val="2"/>
        <scheme val="minor"/>
      </rPr>
      <t>Implement Image Quality, Bounding-Box Filtering and Multi-Frame Stability with Jest TDD</t>
    </r>
    <r>
      <rPr>
        <sz val="11"/>
        <color theme="1"/>
        <rFont val="Calibri"/>
        <family val="2"/>
        <scheme val="minor"/>
      </rPr>
      <t xml:space="preserve">
Target Files:
• checkupp-mobile/lib/scanner/bloodPressureScanner.ts
• checkupp-mobile/lib/scanner/glucoseScanner.ts
• checkupp-mobile/lib/scanner/weightScanner.ts
• checkupp-mobile/test/cardiovascular/scan-monitor-image.test.ts
• checkupp-mobile/test/diabetes/scan-glucometer-image.test.ts
• checkupp-mobile/test/diabetes/scan-digital-scale-image.test.ts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r>
  </si>
  <si>
    <r>
      <rPr>
        <b/>
        <sz val="11"/>
        <color theme="1"/>
        <rFont val="Calibri"/>
        <family val="2"/>
        <scheme val="minor"/>
      </rPr>
      <t>Implement Glucometer Single-Value OCR Extraction and Regex Validation with Jest TDD</t>
    </r>
    <r>
      <rPr>
        <sz val="11"/>
        <color theme="1"/>
        <rFont val="Calibri"/>
        <family val="2"/>
        <scheme val="minor"/>
      </rPr>
      <t xml:space="preserve">
Target Files:
• checkupp-mobile/lib/scanner/glucoseScanner.ts
• checkupp-mobile/test/DiabetesTest/scan-glucometer-image.test.ts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r>
  </si>
  <si>
    <r>
      <rPr>
        <b/>
        <sz val="11"/>
        <color theme="1"/>
        <rFont val="Calibri"/>
        <family val="2"/>
        <scheme val="minor"/>
      </rPr>
      <t>Implement Blood Pressure OCR Extraction and Y-Coordinate Mapping with Jest TDD</t>
    </r>
    <r>
      <rPr>
        <sz val="11"/>
        <color theme="1"/>
        <rFont val="Calibri"/>
        <family val="2"/>
        <scheme val="minor"/>
      </rPr>
      <t xml:space="preserve">
Target Files:
• checkupp-mobile/lib/scanner/bloodPressureScanner.ts
• checkupp-mobile/test/CardiovascularReading/scan-monitor-image.test.ts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r>
  </si>
  <si>
    <r>
      <rPr>
        <b/>
        <sz val="11"/>
        <color theme="1"/>
        <rFont val="Calibri"/>
        <family val="2"/>
        <scheme val="minor"/>
      </rPr>
      <t>Implement Digital Weighing Scale LCD OCR and Weight Validation with Jest TDD</t>
    </r>
    <r>
      <rPr>
        <sz val="11"/>
        <color theme="1"/>
        <rFont val="Calibri"/>
        <family val="2"/>
        <scheme val="minor"/>
      </rPr>
      <t xml:space="preserve">
Target Files:
• checkupp-mobile/lib/scanner/weightScanner.ts
• checkupp-mobile/test/DiabetesTest/scan-digital-scale-image.test.ts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</si>
  <si>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checkupp-mobile/tests/wallet/walletCardInteractions.test.ts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</si>
  <si>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t>Cardiovascular Camera Scanner UI, Permission Handling &amp; Torch Toggle
* **Target Files**:
* `checkupp-mobile/components/screening/CardiovascularHealth.tsx`
* `checkupp-mobile/components/camera/ScannerCameraModal.tsx`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7. Add an interactive Torch/Flashlight toggle button overlay on the scanner interface to illuminate dark physical environments, bound to the camera torch property.
* **Acceptance Criteria Covered**: US 19.3 (AC 1, 2, 3, 4, 7)</t>
  </si>
  <si>
    <t>Blood Pressure ML Kit Extraction, Pre-Processing, Y-Coordinate Sorting &amp; Validation
* **Target Files**:
* `checkupp-mobile/lib/utils/ocrUtils.ts`
* `checkupp-mobile/lib/utils/imageUtils.ts
* `checkupp-mobile/components/camera/ScannerCameraModal.tsx`
* `checkupp-mobile/components/screening/CardiovascularHealth.tsx`
* **Description**:
0. Apply imageUtils.ts grayscale and adaptive threshold/contrast filtering to the camera frame buffer before ML Kit processing to strip screen reflections and isolate glowing LCD digits.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</si>
  <si>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Glucometer ML Kit Scanning with Frame Pre-Processing &amp; Contextual Reading Modal
* **Target Files**:
* `checkupp-mobile/components/screening/DiabetesTest.tsx`
* `checkupp-mobile/lib/utils/imageUtils.ts
* `checkupp-mobile/components/camera/ScannerCameraModal.tsx`
* `checkupp-mobile/components/ReadingTypeBottomSheet.tsx`
* **Description**:
1. Place a "Scan Glucometer" button prominently at the top of the Blood Glucose section in the Diabetes form.
2. Apply imageUtils.ts threshold/contrast pre-processing to the camera frame to eliminate screen glare before passing to ML Kit.
3. Implement a focused scanner modal targeting single numbers (including decimals, e.g., 5.6 or 12.1) using regular expression matching.
4. Upon capturing the valid glucose value, display `ReadingTypeBottomSheet.tsx` asking: `"What type of reading is this?"` with options:
* Fasting Glucose
* Random Glucose
* Post-Meal Glucose
5. Inject the scanned number specifically into the selected option's field and close the bottom sheet.
6. Enforce human-in-the-loop confirmation where the user must manually tap "Save Reading" to commit to the backend.
7. Add the 10-second scanner timeout alert with manual fallback options.
* **Acceptance Criteria Covered**: US 20.3 - Glucometer (AC 1, 2, 3, 4, 5, 6, 7)</t>
  </si>
  <si>
    <t>Digital Weight Scale Camera Scanner with Image Pre-Processing
* **Target Files**:
* `checkupp-mobile/components/screening/DiabetesTest.tsx`
* `checkupp-mobile/components/camera/ScannerCameraModal.tsx`
* `checkupp-mobile/lib/utils/imageUtils.ts`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</si>
  <si>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Native GCP Storage Integration &amp; Audit Logging
Target: checkupp-api/src/modules/wallet/wallet.service.ts
Native GCP Initialization: Implement the official @google-cloud/storage SDK using the new GCP_* environment variables, explicitly targeting the australia-southeast1 region bucket for onshore data sovereignty. Ensure firebase-admin/storage is completely removed.
Raw Binary Buffer Streaming: In uploadPendingFile, process the incoming raw binary stream captured by express.raw() (eliminating multer), stream it directly into the standard GCP bucket with AES-256 encryption at rest, and generate/return a secure URL.
Audit Compliance &amp; Cleanup: Ensure all uploads and deletions continue to pass through the controller-level tryCreateAuditLog wrapper. Completely remove obsolete local disk storage functions (fs.writeFile, fs.unlink), remove walletUploadsDir from configurations, and ensure the express.static block is deleted from src/app.ts.</t>
  </si>
  <si>
    <t>Backend TDD: GCP &amp; Raw Binary Validation
Target: checkupp-api/tests/modules/wallet/wallet.test.ts
Mocking Storage: Initialize the Jest test suite using supertest. Mock the storage module to intercept bucket uploads and deletes without hitting the live network.
Upload Assertions (US 6.1): Send a valid raw binary buffer payload to PUT /me/wallet/uploads/pending?objectKey=... (matching express.raw()). Assert a 201 response and verify the mocked bucket upload function is invoked.
Deletion Assertions (US 6.3): DELETE /me/wallet/documents/:id. Assert a 200 OK response, verify the mocked bucket delete() method is called for physical documents, and confirm an immutable AuditLog row is written.</t>
  </si>
  <si>
    <t>Offline-First Caching &amp; Native Viewers
Scope: Frontend | Target: checkupp-mobile/components/wallet/WalletItemCard.tsx &amp; Viewers
Smart Caching Layer: Refactor WalletItemCard.tsx to implement local caching checks against FileSystem.documentDirectory, downloading from the GCP URL only when the asset is missing.
Native PDF Intents: Update DocumentViewer.tsx to completely remove react-native-webview, routing local file:// URIs through expo-sharing to launch the device's native PDF reader.
Viewer Fallbacks: Implement a 5-second safety timeout inside ImageViewer.tsx to prevent infinite loading spinners if network latency spikes.</t>
  </si>
  <si>
    <t>Smart Cache &amp; Native Sharing
Target: checkupp-mobile/tests/wallet/walletCardInteractions.test.ts
Mocking File System: Set up tests using @testing-library/react-native, mocking expo-file-system, expo-sharing, and expo-web-browser.
Action Menu (US 6.3): Simulate pressing the 3-dot menu and assert that options render correctly ("View/Open", "Download" for documents, "Delete", "Cancel").
Cross-Platform Sharing (US 6.2): Simulate pressing "Share". For e-scripts, assert native Share.share is invoked; for documents, verify FileSystem.getInfoAsync is checked before invoking Sharing.shareAsync.</t>
  </si>
  <si>
    <t>Pregnancy</t>
  </si>
  <si>
    <t>TDD-01: Extend Checkup Schema Validation (Backend)
Target Files: src/modules/pregnancy/pregnancy.validation.ts, tests/modules/pregnancy/pregnancy.validation.test.ts (New)
Description: Write unit tests verifying new payload flags (isConditional, isAlternative, isReferralOnly). Update checkupItemSchema to explicitly type these new fields while maintaining .unknown(true) backward compatibility.</t>
  </si>
  <si>
    <t>Unit Tests for Milestone Calculation (Frontend)
Target Files: test/Pregnancy/PregnancyCheckups.test.ts (New)
Description: Write Jest tests asserting that calculateCheckupDates correctly generates the new 6-12 week batch (Early 75g OGTT, Cervical screening, Dating scan). Assert that alternative scan paths are correctly structured in the output array.</t>
  </si>
  <si>
    <t>Update CHECKUP_META Data Structure (Frontend)
Target Files: app/(tabs)/pregnancy-planner.tsx
Description: Update the "Routine Blood &amp; Urine Tests" milestone in CHECKUP_META to explicitly list FBC, Rubella, Hep B/C, Syphilis, HIV, and MSU. Add new milestone objects for Cervical Screening, Early 75g OGTT, and the "Early Pregnancy Information" education block. Update the "Non-Invasive Prenatal Testing (NIPT)" and "First Trimester Screening (cFTS)" milestones to explicitly represent the "NIPS + Early Structural Ultrasound OR NT +/- cFTS" pathway.</t>
  </si>
  <si>
    <t>UI Support for Conditional Milestones (Frontend)
Target Files: app/(tabs)/pregnancy-planner.tsx
Description: Modify the checklist rendering map function to display a visual "Conditional" badge for items like the "Dating scan (if LMP uncertain)". Add an "OR" visual separator between alternative screening paths (NIPS vs. NT scan) within the checklist UI. Update the "Influenza Vaccination" milestone to indicate "Anytime" rather than strictly week 14.</t>
  </si>
  <si>
    <t>Update Educational Tips Content (Frontend)
Target Files: components/PregnancyTips.tsx
Description: Modify the pregnancyTips array objects for the 5-7 and 8-10 week ranges. Add explicitly required educational text: Covid-19 vaccine, Reproductive Carrier Screening, genetic counselling, CMV prevention, iodine/folic acid, pelvic floor exercises, and quitting smoking/alcohol.</t>
  </si>
  <si>
    <t>Verify Calendar &amp; Reminder Sync (Frontend)
Target Files: app/(tabs)/pregnancy-planner.tsx
Description: Test the handleSave notification scheduling loop to ensure the newly added checkups correctly trigger addDatesToCalendar and scheduleNotifications. Ensure string-matching logic for getNotificationIdentifiersByTitles gracefully handles the longer, updated checklist names.</t>
  </si>
  <si>
    <t>XL</t>
  </si>
  <si>
    <t>TDD - Write Unit Tests for Crypto Utility
Target Files: tests/utils/crypto.util.test.ts
Implementation Steps:
- Scaffold the Jest test suite for a new crypto.util module.
- Define the failing test assertions required to validate AES-256-GCM encryption and decryption.
- Mock process.env.WALLET_ENCRYPTION_KEY to provide a valid 32-byte string during the test run.
TDD Test Assertions (To be written):
[ ] it('should encrypt a plaintext string into a structured iv:tag:ciphertext format')
[ ] it('should successfully decrypt a valid iv:tag:ciphertext string back to the original plaintext')
[ ] it('should throw a decipher authentication error if the ciphertext payload is altered')
[ ] it('should throw a decipher authentication error if the authentication tag is altered')
Acceptance Criteria:
[ ] The test suite runs and correctly fails (Red phase of TDD) awaiting the implementation ticket.</t>
  </si>
  <si>
    <t>Implement Crypto Utility (AES-256-GCM)
Target Files: checkupp-api/src/utils/crypto.util.ts
Implementation Steps:
1. Environment Variable: Read WALLET_ENCRYPTION_KEY from process.env. Throw an initialization error if missing or not exactly 32 bytes.
2. Algorithm: Hardcode the cipher algorithm strictly as aes-256-gcm.
3. Encrypt Function (encryptLink):
Accept a plain text URL string.
Generate a 16-byte Initialization Vector via crypto.randomBytes(16).
Create a cipher using crypto.createCipheriv.
Extract the 16-byte Authentication Tag via cipher.getAuthTag().
Return a formatted string exact match: iv_hex:tag_hex:ciphertext_hex.
4. Decrypt Function (decryptLink):
Accept the formatted ciphertext string and split it by :.
Create a decipher using crypto.createDecipheriv.
Set the auth tag via decipher.setAuthTag(Buffer.from(tag_hex, 'hex')).
Decrypt and return the original UTF-8 string.
Acceptance Criteria:
[ ] All tests defined in Ticket 1 pass successfully (Green phase).
[ ] 100% statement coverage achieved on crypto.util.ts.</t>
  </si>
  <si>
    <t>TDD - Write Unit Tests for Wallet Service Encryption Integration
Target Files: checkupp-api/tests/modules/wallet/wallet.service.test.ts
Implementation Steps:
Locate the existing wallet.service test suite.
Mock the incoming crypto.util.ts dependencies (encryptLink, decryptLink).
Write failing test assertions for the createLink and listDocuments flows to ensure data is intercepted before Prisma queries.
TDD Test Assertions (To be written):
[ ] it('should pass the URL to encryptLink before calling prisma.walletItem.create')
[ ] it('should pass stored database ciphertext to decryptLink before returning the item list')
[ ] it('should gracefully skip decryption and return null/undefined if the externalUrl field is empty')
[ ] it('should throw a 500 Internal Server Error if decryption fails during the database read cycle')
Acceptance Criteria:
[ ] The test suite runs and correctly fails awaiting implementation.</t>
  </si>
  <si>
    <t>Integrate Encryption into Wallet Service
Target Files: checkupp-api/src/modules/wallet/wallet.service.ts
Implementation Steps:
Write Operation (createLink): Intercept the externalUrl or publicUrl payload before it hits prisma.walletItem.create. Pass it through encryptLink() and map the resulting iv:tag:ciphertext string to the Prisma creation object.
Read Operation (getWalletItems / listDocuments): When querying prisma.walletItem.findMany, map over the returned object array. If an item contains a populated externalUrl (an e-script), pass that string through decryptLink() to mutate it back to plain text before returning it to the controller.
Acceptance Criteria:
[ ] All tests defined in Ticket 3 pass successfully.
[ ] E-script URLs are persisted in the database exclusively as encrypted strings, while API responses to the client remain plain-text.</t>
  </si>
  <si>
    <t>TDD - Write Unit Tests for Frontend Picker Restrictions
Target Files: checkupp-mobile/test/hooks/useDocumentUpload.test.ts
Implementation Steps:
Scaffold or locate the tests for the useDocumentUpload hook.
Write tests that assert the correct MIME type arrays are being passed to Expo's picker configurations.
Mock a scenario where a user bypasses the picker (e.g., via intent) and provides a non-whitelisted file.
TDD Test Assertions (To be written):
[ ] it('should configure DocumentPicker with the exact array of whitelisted document MIME types') = ['application/pdf', 'application/msword', 'application/vnd.openxmlformats-officedocument.wordprocessingml.document', 'text/csv', 'application/vnd.openxmlformats-officedocument.spreadsheetml.sheet']
[ ] it('should configure ImagePicker with the exact array of whitelisted image MIME types') = ['image/jpeg', 'image/png', 'image/heic', 'public.heic']
[ ] it('should abort upload and trigger showToast("Unsupported file format") if an unwhitelisted file bypasses the picker')
Acceptance Criteria:
[ ] Tests correctly fail awaiting the hook update.</t>
  </si>
  <si>
    <t>Implement Frontend OS-Level Picker Restrictions
Target Files: checkupp-mobile/hooks/useDocumentUpload.ts
Implementation Steps:
Document Picker Config: Update expo-document-picker options. Set the type property strictly to: ['application/pdf', 'application/msword', 'application/vnd.openxmlformats-officedocument.wordprocessingml.document', 'text/csv', 'application/vnd.openxmlformats-officedocument.spreadsheetml.sheet'].
Image Picker Config: Update expo-image-picker to strictly accept: ['image/jpeg', 'image/png', 'image/heic', 'public.heic'].
Bypass Fallback: Add a manual string validation check on the selected file's returned mimeType against a hardcoded whitelist. If it fails, trigger the existing error toast and abort the upload function early.
Acceptance Criteria:
[ ] All tests defined in Ticket 5 pass successfully.
[ ] Non-whitelisted files (e.g., .mp4, .exe) are physically unselectable in the native iOS/Android file explorers.</t>
  </si>
  <si>
    <t>TDD - Write Unit Tests for Signed URL Pre-Flight Validation
Target Files: checkupp-api/tests/modules/wallet/wallet.controller.test.ts
Implementation Steps:
Locate the test suite for the GCP Signed URL generation controller.
Mock the Express req object to simulate payloads with missing, invalid, and valid mimeType fields.
Ensure the GCP SDK mock is specifically checked to not be called during failure states.
TDD Test Assertions (To be written):
[ ] it('should generate and return a GCP Signed URL when the body contains a valid mimeType (e.g., application/pdf)')
[ ] it('should return a 415 error if the requested mimeType is not in the hardcoded whitelist (e.g., application/x-msdownload)')
[ ] it('should return a 400 error if the mimeType is entirely missing from the request payload')
[ ] it('should not invoke the GCP Storage SDK if validation fails')
Acceptance Criteria:
[ ] Tests correctly fail awaiting controller logic updates.</t>
  </si>
  <si>
    <t>Implement Backend Signed URL Pre-Flight Validation
Target Files: checkupp-api/src/modules/wallet/wallet.controller.ts
Implementation Steps:
Extract Content-Type: Update the /upload-url POST route to require mimeType in the incoming JSON body.
Strict Whitelist Array: Define a constant array containing the 8 allowed MIME types from Ticket 6.
Validation Logic: Intercept the request. If req.body.mimeType is missing, return HTTP 400 Bad Request.
Rejection: If req.body.mimeType is not found within the whitelist array, return HTTP 415 Unsupported Media Type before any GCP Storage logic is executed.
Acceptance Criteria:
[ ] All tests defined in Ticket 7 pass successfully.
[ ] API requests attempting to generate a Signed URL for unsupported files fail securely at the controller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</si>
</sst>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3" fillId="5" borderId="1" xfId="0" applyFont="1" applyFill="1" applyBorder="1" applyAlignment="1">
      <alignment horizontal="left"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0" fontId="3" fillId="7" borderId="1" xfId="0" applyFont="1" applyFill="1" applyBorder="1" applyAlignment="1">
      <alignment horizontal="center" vertical="center"/>
    </xf>
    <xf numFmtId="0" fontId="3"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72</c:v>
                </c:pt>
                <c:pt idx="4">
                  <c:v>65</c:v>
                </c:pt>
                <c:pt idx="5">
                  <c:v>60</c:v>
                </c:pt>
                <c:pt idx="6">
                  <c:v>48</c:v>
                </c:pt>
                <c:pt idx="7">
                  <c:v>35</c:v>
                </c:pt>
                <c:pt idx="8">
                  <c:v>0</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03 -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03 Burndown'!$C$1</c:f>
              <c:strCache>
                <c:ptCount val="1"/>
                <c:pt idx="0">
                  <c:v>Actual Story Points Left</c:v>
                </c:pt>
              </c:strCache>
            </c:strRef>
          </c:tx>
          <c:spPr>
            <a:ln w="28575" cap="rnd">
              <a:solidFill>
                <a:schemeClr val="accent1"/>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Burndown'!$C$2:$C$14</c:f>
              <c:numCache>
                <c:formatCode>General</c:formatCode>
                <c:ptCount val="13"/>
                <c:pt idx="0">
                  <c:v>52</c:v>
                </c:pt>
                <c:pt idx="1">
                  <c:v>52</c:v>
                </c:pt>
                <c:pt idx="2">
                  <c:v>52</c:v>
                </c:pt>
                <c:pt idx="3">
                  <c:v>39</c:v>
                </c:pt>
                <c:pt idx="4">
                  <c:v>26</c:v>
                </c:pt>
                <c:pt idx="5">
                  <c:v>26</c:v>
                </c:pt>
                <c:pt idx="6">
                  <c:v>26</c:v>
                </c:pt>
                <c:pt idx="7">
                  <c:v>26</c:v>
                </c:pt>
                <c:pt idx="8">
                  <c:v>21</c:v>
                </c:pt>
                <c:pt idx="9">
                  <c:v>16</c:v>
                </c:pt>
                <c:pt idx="10">
                  <c:v>8</c:v>
                </c:pt>
                <c:pt idx="11">
                  <c:v>8</c:v>
                </c:pt>
                <c:pt idx="12">
                  <c:v>0</c:v>
                </c:pt>
              </c:numCache>
            </c:numRef>
          </c:val>
          <c:smooth val="0"/>
          <c:extLst>
            <c:ext xmlns:c16="http://schemas.microsoft.com/office/drawing/2014/chart" uri="{C3380CC4-5D6E-409C-BE32-E72D297353CC}">
              <c16:uniqueId val="{00000000-8691-4B22-8ED6-2D07F6CFB302}"/>
            </c:ext>
          </c:extLst>
        </c:ser>
        <c:ser>
          <c:idx val="1"/>
          <c:order val="1"/>
          <c:tx>
            <c:strRef>
              <c:f>'Sprint 03 Burndown'!$D$1</c:f>
              <c:strCache>
                <c:ptCount val="1"/>
                <c:pt idx="0">
                  <c:v>Expected Story Points Left</c:v>
                </c:pt>
              </c:strCache>
            </c:strRef>
          </c:tx>
          <c:spPr>
            <a:ln w="28575" cap="rnd">
              <a:solidFill>
                <a:schemeClr val="accent2"/>
              </a:solidFill>
              <a:round/>
            </a:ln>
            <a:effectLst/>
          </c:spPr>
          <c:marker>
            <c:symbol val="none"/>
          </c:marker>
          <c:cat>
            <c:numRef>
              <c:f>'Sprint 03 Burndown'!$B$2:$B$14</c:f>
              <c:numCache>
                <c:formatCode>m/d/yyyy</c:formatCode>
                <c:ptCount val="13"/>
                <c:pt idx="0">
                  <c:v>46272</c:v>
                </c:pt>
                <c:pt idx="1">
                  <c:v>46273</c:v>
                </c:pt>
                <c:pt idx="2">
                  <c:v>46274</c:v>
                </c:pt>
                <c:pt idx="3">
                  <c:v>46275</c:v>
                </c:pt>
                <c:pt idx="4">
                  <c:v>46276</c:v>
                </c:pt>
                <c:pt idx="5">
                  <c:v>46279</c:v>
                </c:pt>
                <c:pt idx="6">
                  <c:v>46280</c:v>
                </c:pt>
                <c:pt idx="7">
                  <c:v>46281</c:v>
                </c:pt>
                <c:pt idx="8">
                  <c:v>46282</c:v>
                </c:pt>
                <c:pt idx="9">
                  <c:v>46283</c:v>
                </c:pt>
                <c:pt idx="10">
                  <c:v>46286</c:v>
                </c:pt>
                <c:pt idx="11">
                  <c:v>46287</c:v>
                </c:pt>
                <c:pt idx="12">
                  <c:v>46288</c:v>
                </c:pt>
              </c:numCache>
            </c:numRef>
          </c:cat>
          <c:val>
            <c:numRef>
              <c:f>'Sprint 03 Burndown'!$D$2:$D$14</c:f>
              <c:numCache>
                <c:formatCode>General</c:formatCode>
                <c:ptCount val="13"/>
                <c:pt idx="0">
                  <c:v>52</c:v>
                </c:pt>
                <c:pt idx="1">
                  <c:v>47.666666666666664</c:v>
                </c:pt>
                <c:pt idx="2">
                  <c:v>43.333333333333336</c:v>
                </c:pt>
                <c:pt idx="3">
                  <c:v>39</c:v>
                </c:pt>
                <c:pt idx="4">
                  <c:v>34.666666666666671</c:v>
                </c:pt>
                <c:pt idx="5">
                  <c:v>30.333333333333329</c:v>
                </c:pt>
                <c:pt idx="6">
                  <c:v>26</c:v>
                </c:pt>
                <c:pt idx="7">
                  <c:v>21.666666666666664</c:v>
                </c:pt>
                <c:pt idx="8">
                  <c:v>17.333333333333336</c:v>
                </c:pt>
                <c:pt idx="9">
                  <c:v>13</c:v>
                </c:pt>
                <c:pt idx="10">
                  <c:v>8.6666666666666643</c:v>
                </c:pt>
                <c:pt idx="11">
                  <c:v>4.3333333333333357</c:v>
                </c:pt>
                <c:pt idx="12">
                  <c:v>0</c:v>
                </c:pt>
              </c:numCache>
            </c:numRef>
          </c:val>
          <c:smooth val="0"/>
          <c:extLst>
            <c:ext xmlns:c16="http://schemas.microsoft.com/office/drawing/2014/chart" uri="{C3380CC4-5D6E-409C-BE32-E72D297353CC}">
              <c16:uniqueId val="{00000001-8691-4B22-8ED6-2D07F6CFB302}"/>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2" name="Chart 1">
          <a:extLst>
            <a:ext uri="{FF2B5EF4-FFF2-40B4-BE49-F238E27FC236}">
              <a16:creationId xmlns:a16="http://schemas.microsoft.com/office/drawing/2014/main" id="{F917FB92-B93B-42CC-81A6-86FDC094B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R3" sqref="R3"/>
    </sheetView>
  </sheetViews>
  <sheetFormatPr defaultColWidth="8.88671875" defaultRowHeight="14.4" x14ac:dyDescent="0.3"/>
  <cols>
    <col min="1" max="1" width="6.88671875" style="10" customWidth="1"/>
    <col min="2" max="2" width="14.33203125" style="10" customWidth="1"/>
    <col min="3" max="3" width="13.21875" style="10" bestFit="1" customWidth="1"/>
    <col min="4" max="4" width="17.6640625" style="10" bestFit="1" customWidth="1"/>
    <col min="5" max="5" width="13.5546875" style="10" bestFit="1" customWidth="1"/>
    <col min="6" max="6" width="52.6640625" style="11" customWidth="1"/>
    <col min="7" max="7" width="12.109375" style="10" bestFit="1" customWidth="1"/>
    <col min="8" max="8" width="12.88671875" style="10" bestFit="1" customWidth="1"/>
    <col min="9" max="9" width="11.33203125" style="10" bestFit="1" customWidth="1"/>
    <col min="10" max="10" width="6.77734375" style="10" bestFit="1" customWidth="1"/>
    <col min="11" max="11" width="15.5546875" style="10" bestFit="1" customWidth="1"/>
    <col min="12" max="12" width="10.44140625" style="10" bestFit="1" customWidth="1"/>
    <col min="13" max="16384" width="8.88671875" style="10"/>
  </cols>
  <sheetData>
    <row r="1" spans="1:12" s="9" customFormat="1" ht="30" customHeight="1" x14ac:dyDescent="0.3">
      <c r="A1" s="4" t="s">
        <v>11</v>
      </c>
      <c r="B1" s="4" t="s">
        <v>0</v>
      </c>
      <c r="C1" s="4" t="s">
        <v>1</v>
      </c>
      <c r="D1" s="4" t="s">
        <v>2</v>
      </c>
      <c r="E1" s="4" t="s">
        <v>10</v>
      </c>
      <c r="F1" s="4" t="s">
        <v>3</v>
      </c>
      <c r="G1" s="4" t="s">
        <v>4</v>
      </c>
      <c r="H1" s="4" t="s">
        <v>8</v>
      </c>
      <c r="I1" s="4" t="s">
        <v>9</v>
      </c>
      <c r="J1" s="4" t="s">
        <v>5</v>
      </c>
      <c r="K1" s="4" t="s">
        <v>6</v>
      </c>
      <c r="L1" s="4" t="s">
        <v>7</v>
      </c>
    </row>
    <row r="2" spans="1:12" ht="49.2" customHeight="1" x14ac:dyDescent="0.3">
      <c r="A2" s="6">
        <v>1</v>
      </c>
      <c r="B2" s="6" t="s">
        <v>26</v>
      </c>
      <c r="C2" s="6">
        <v>0.1</v>
      </c>
      <c r="D2" s="6" t="s">
        <v>33</v>
      </c>
      <c r="E2" s="6" t="s">
        <v>16</v>
      </c>
      <c r="F2" s="8" t="s">
        <v>17</v>
      </c>
      <c r="G2" s="6" t="s">
        <v>18</v>
      </c>
      <c r="H2" s="6" t="s">
        <v>19</v>
      </c>
      <c r="I2" s="6" cm="1">
        <f t="array" ref="I2">_xlfn.SWITCH(H2,"XS",1,"S",2,"M",3,"L",5,"XL",8,"XXL",13,"XXXL",21,"")</f>
        <v>1</v>
      </c>
      <c r="J2" s="6" t="s">
        <v>75</v>
      </c>
      <c r="K2" s="6"/>
      <c r="L2" s="6"/>
    </row>
    <row r="3" spans="1:12" ht="408.6" customHeight="1" x14ac:dyDescent="0.3">
      <c r="A3" s="6">
        <v>2</v>
      </c>
      <c r="B3" s="6" t="s">
        <v>25</v>
      </c>
      <c r="C3" s="6">
        <v>1.1000000000000001</v>
      </c>
      <c r="D3" s="6" t="s">
        <v>32</v>
      </c>
      <c r="E3" s="6" t="s">
        <v>20</v>
      </c>
      <c r="F3" s="8" t="s">
        <v>38</v>
      </c>
      <c r="G3" s="6" t="s">
        <v>21</v>
      </c>
      <c r="H3" s="6" t="s">
        <v>23</v>
      </c>
      <c r="I3" s="6" cm="1">
        <f t="array" ref="I3">_xlfn.SWITCH(H3,"XS",1,"S",2,"M",3,"L",5,"XL",8,"XXL",13,"XXXL",21,"")</f>
        <v>2</v>
      </c>
      <c r="J3" s="6" t="s">
        <v>75</v>
      </c>
      <c r="K3" s="6"/>
      <c r="L3" s="6"/>
    </row>
    <row r="4" spans="1:12" ht="408.6" customHeight="1" x14ac:dyDescent="0.3">
      <c r="A4" s="6">
        <v>3</v>
      </c>
      <c r="B4" s="6" t="s">
        <v>25</v>
      </c>
      <c r="C4" s="6" t="s">
        <v>43</v>
      </c>
      <c r="D4" s="6" t="s">
        <v>34</v>
      </c>
      <c r="E4" s="6" t="s">
        <v>22</v>
      </c>
      <c r="F4" s="8" t="s">
        <v>69</v>
      </c>
      <c r="G4" s="6" t="s">
        <v>24</v>
      </c>
      <c r="H4" s="6" t="s">
        <v>19</v>
      </c>
      <c r="I4" s="6" cm="1">
        <f t="array" ref="I4">_xlfn.SWITCH(H4,"XS",1,"S",2,"M",3,"L",5,"XL",8,"XXL",13,"XXXL",21,"")</f>
        <v>1</v>
      </c>
      <c r="J4" s="6" t="s">
        <v>75</v>
      </c>
      <c r="K4" s="6"/>
      <c r="L4" s="6"/>
    </row>
    <row r="5" spans="1:12" ht="408.6" customHeight="1" x14ac:dyDescent="0.3">
      <c r="A5" s="6">
        <v>4</v>
      </c>
      <c r="B5" s="6" t="s">
        <v>25</v>
      </c>
      <c r="C5" s="6" t="s">
        <v>43</v>
      </c>
      <c r="D5" s="6" t="s">
        <v>35</v>
      </c>
      <c r="E5" s="6" t="s">
        <v>22</v>
      </c>
      <c r="F5" s="8" t="s">
        <v>70</v>
      </c>
      <c r="G5" s="6" t="s">
        <v>24</v>
      </c>
      <c r="H5" s="6" t="s">
        <v>30</v>
      </c>
      <c r="I5" s="6" cm="1">
        <f t="array" ref="I5">_xlfn.SWITCH(H5,"XS",1,"S",2,"M",3,"L",5,"XL",8,"XXL",13,"XXXL",21,"")</f>
        <v>5</v>
      </c>
      <c r="J5" s="6" t="s">
        <v>75</v>
      </c>
      <c r="K5" s="6"/>
      <c r="L5" s="6"/>
    </row>
    <row r="6" spans="1:12" ht="409.6" x14ac:dyDescent="0.3">
      <c r="A6" s="6">
        <v>5</v>
      </c>
      <c r="B6" s="6"/>
      <c r="C6" s="6">
        <v>1.6</v>
      </c>
      <c r="D6" s="6"/>
      <c r="E6" s="6" t="s">
        <v>22</v>
      </c>
      <c r="F6" s="8" t="s">
        <v>71</v>
      </c>
      <c r="G6" s="6" t="s">
        <v>24</v>
      </c>
      <c r="H6" s="6" t="s">
        <v>30</v>
      </c>
      <c r="I6" s="6" cm="1">
        <f t="array" ref="I6">_xlfn.SWITCH(H6,"XS",1,"S",2,"M",3,"L",5,"XL",8,"XXL",13,"XXXL",21,"")</f>
        <v>5</v>
      </c>
      <c r="J6" s="6" t="s">
        <v>75</v>
      </c>
      <c r="K6" s="6"/>
      <c r="L6" s="6"/>
    </row>
    <row r="7" spans="1:12" ht="272.39999999999998" customHeight="1" x14ac:dyDescent="0.3">
      <c r="A7" s="6">
        <v>6</v>
      </c>
      <c r="B7" s="6" t="s">
        <v>25</v>
      </c>
      <c r="C7" s="6" t="s">
        <v>42</v>
      </c>
      <c r="D7" s="6" t="s">
        <v>36</v>
      </c>
      <c r="E7" s="6" t="s">
        <v>31</v>
      </c>
      <c r="F7" s="8" t="s">
        <v>44</v>
      </c>
      <c r="G7" s="6" t="s">
        <v>29</v>
      </c>
      <c r="H7" s="6" t="s">
        <v>27</v>
      </c>
      <c r="I7" s="6" cm="1">
        <f t="array" ref="I7">_xlfn.SWITCH(H7,"XS",1,"S",2,"M",3,"L",5,"XL",8,"XXL",13,"XXXL",21,"")</f>
        <v>3</v>
      </c>
      <c r="J7" s="6" t="s">
        <v>75</v>
      </c>
      <c r="K7" s="6"/>
      <c r="L7" s="6"/>
    </row>
    <row r="8" spans="1:12" ht="409.6" x14ac:dyDescent="0.3">
      <c r="A8" s="6">
        <v>7</v>
      </c>
      <c r="B8" s="6" t="s">
        <v>25</v>
      </c>
      <c r="C8" s="6" t="s">
        <v>41</v>
      </c>
      <c r="D8" s="6" t="s">
        <v>63</v>
      </c>
      <c r="E8" s="6" t="s">
        <v>20</v>
      </c>
      <c r="F8" s="8" t="s">
        <v>45</v>
      </c>
      <c r="G8" s="6" t="s">
        <v>24</v>
      </c>
      <c r="H8" s="6" t="s">
        <v>27</v>
      </c>
      <c r="I8" s="6" cm="1">
        <f t="array" ref="I8">_xlfn.SWITCH(H8,"XS",1,"S",2,"M",3,"L",5,"XL",8,"XXL",13,"XXXL",21,"")</f>
        <v>3</v>
      </c>
      <c r="J8" s="6" t="s">
        <v>75</v>
      </c>
      <c r="K8" s="6"/>
      <c r="L8" s="6"/>
    </row>
    <row r="9" spans="1:12" ht="409.6" x14ac:dyDescent="0.3">
      <c r="A9" s="6">
        <v>8</v>
      </c>
      <c r="B9" s="6" t="s">
        <v>25</v>
      </c>
      <c r="C9" s="6" t="s">
        <v>40</v>
      </c>
      <c r="D9" s="6" t="s">
        <v>28</v>
      </c>
      <c r="E9" s="6" t="s">
        <v>20</v>
      </c>
      <c r="F9" s="8" t="s">
        <v>68</v>
      </c>
      <c r="G9" s="6" t="s">
        <v>29</v>
      </c>
      <c r="H9" s="6" t="s">
        <v>23</v>
      </c>
      <c r="I9" s="6" cm="1">
        <f t="array" ref="I9">_xlfn.SWITCH(H9,"XS",1,"S",2,"M",3,"L",5,"XL",8,"XXL",13,"XXXL",21,"")</f>
        <v>2</v>
      </c>
      <c r="J9" s="6" t="s">
        <v>75</v>
      </c>
      <c r="K9" s="6"/>
      <c r="L9" s="6"/>
    </row>
    <row r="10" spans="1:12" ht="396" customHeight="1" x14ac:dyDescent="0.3">
      <c r="A10" s="6">
        <v>9</v>
      </c>
      <c r="B10" s="6" t="s">
        <v>25</v>
      </c>
      <c r="C10" s="6" t="s">
        <v>39</v>
      </c>
      <c r="D10" s="6" t="s">
        <v>28</v>
      </c>
      <c r="E10" s="6" t="s">
        <v>20</v>
      </c>
      <c r="F10" s="8" t="s">
        <v>46</v>
      </c>
      <c r="G10" s="6" t="s">
        <v>29</v>
      </c>
      <c r="H10" s="6" t="s">
        <v>27</v>
      </c>
      <c r="I10" s="6" cm="1">
        <f t="array" ref="I10">_xlfn.SWITCH(H10,"XS",1,"S",2,"M",3,"L",5,"XL",8,"XXL",13,"XXXL",21,"")</f>
        <v>3</v>
      </c>
      <c r="J10" s="6" t="s">
        <v>75</v>
      </c>
      <c r="K10" s="6"/>
      <c r="L10" s="6"/>
    </row>
    <row r="11" spans="1:12" ht="409.6" x14ac:dyDescent="0.3">
      <c r="A11" s="6">
        <v>10</v>
      </c>
      <c r="B11" s="6" t="s">
        <v>25</v>
      </c>
      <c r="C11" s="6" t="s">
        <v>47</v>
      </c>
      <c r="D11" s="6" t="s">
        <v>37</v>
      </c>
      <c r="E11" s="6" t="s">
        <v>20</v>
      </c>
      <c r="F11" s="8" t="s">
        <v>48</v>
      </c>
      <c r="G11" s="6" t="s">
        <v>29</v>
      </c>
      <c r="H11" s="6" t="s">
        <v>30</v>
      </c>
      <c r="I11" s="6" cm="1">
        <f t="array" ref="I11">_xlfn.SWITCH(H11,"XS",1,"S",2,"M",3,"L",5,"XL",8,"XXL",13,"XXXL",21,"")</f>
        <v>5</v>
      </c>
      <c r="J11" s="6" t="s">
        <v>75</v>
      </c>
      <c r="K11" s="6"/>
      <c r="L11" s="6"/>
    </row>
    <row r="12" spans="1:12" ht="408.6" customHeight="1" x14ac:dyDescent="0.3">
      <c r="A12" s="6">
        <v>11</v>
      </c>
      <c r="B12" s="6"/>
      <c r="C12" s="6" t="s">
        <v>49</v>
      </c>
      <c r="D12" s="6"/>
      <c r="E12" s="6" t="s">
        <v>20</v>
      </c>
      <c r="F12" s="8" t="s">
        <v>64</v>
      </c>
      <c r="G12" s="6" t="s">
        <v>21</v>
      </c>
      <c r="H12" s="6" t="s">
        <v>27</v>
      </c>
      <c r="I12" s="6" cm="1">
        <f t="array" ref="I12">_xlfn.SWITCH(H12,"XS",1,"S",2,"M",3,"L",5,"XL",8,"XXL",13,"XXXL",21,"")</f>
        <v>3</v>
      </c>
      <c r="J12" s="6" t="s">
        <v>75</v>
      </c>
      <c r="K12" s="6"/>
      <c r="L12" s="6"/>
    </row>
    <row r="13" spans="1:12" ht="302.39999999999998" x14ac:dyDescent="0.3">
      <c r="A13" s="6">
        <v>12</v>
      </c>
      <c r="B13" s="6"/>
      <c r="C13" s="6">
        <v>1.8</v>
      </c>
      <c r="D13" s="6"/>
      <c r="E13" s="6" t="s">
        <v>20</v>
      </c>
      <c r="F13" s="8" t="s">
        <v>50</v>
      </c>
      <c r="G13" s="6" t="s">
        <v>29</v>
      </c>
      <c r="H13" s="6" t="s">
        <v>23</v>
      </c>
      <c r="I13" s="6" cm="1">
        <f t="array" ref="I13">_xlfn.SWITCH(H13,"XS",1,"S",2,"M",3,"L",5,"XL",8,"XXL",13,"XXXL",21,"")</f>
        <v>2</v>
      </c>
      <c r="J13" s="6" t="s">
        <v>75</v>
      </c>
      <c r="K13" s="6"/>
      <c r="L13" s="6"/>
    </row>
    <row r="14" spans="1:12" ht="409.6" x14ac:dyDescent="0.3">
      <c r="A14" s="6">
        <v>13</v>
      </c>
      <c r="B14" s="6"/>
      <c r="C14" s="6" t="s">
        <v>52</v>
      </c>
      <c r="D14" s="6" t="s">
        <v>36</v>
      </c>
      <c r="E14" s="6" t="s">
        <v>31</v>
      </c>
      <c r="F14" s="8" t="s">
        <v>51</v>
      </c>
      <c r="G14" s="6" t="s">
        <v>29</v>
      </c>
      <c r="H14" s="6" t="s">
        <v>30</v>
      </c>
      <c r="I14" s="6" cm="1">
        <f t="array" ref="I14">_xlfn.SWITCH(H14,"XS",1,"S",2,"M",3,"L",5,"XL",8,"XXL",13,"XXXL",21,"")</f>
        <v>5</v>
      </c>
      <c r="J14" s="6" t="s">
        <v>75</v>
      </c>
      <c r="K14" s="6"/>
      <c r="L14" s="6"/>
    </row>
    <row r="15" spans="1:12" ht="409.6" x14ac:dyDescent="0.3">
      <c r="A15" s="6">
        <v>14</v>
      </c>
      <c r="B15" s="6"/>
      <c r="C15" s="6"/>
      <c r="D15" s="6" t="s">
        <v>54</v>
      </c>
      <c r="E15" s="6" t="s">
        <v>22</v>
      </c>
      <c r="F15" s="8" t="s">
        <v>72</v>
      </c>
      <c r="G15" s="6" t="s">
        <v>24</v>
      </c>
      <c r="H15" s="6" t="s">
        <v>27</v>
      </c>
      <c r="I15" s="6" cm="1">
        <f t="array" ref="I15">_xlfn.SWITCH(H15,"XS",1,"S",2,"M",3,"L",5,"XL",8,"XXL",13,"XXXL",21,"")</f>
        <v>3</v>
      </c>
      <c r="J15" s="6" t="s">
        <v>75</v>
      </c>
      <c r="K15" s="6" t="s">
        <v>61</v>
      </c>
      <c r="L15" s="6"/>
    </row>
    <row r="16" spans="1:12" ht="409.6" x14ac:dyDescent="0.3">
      <c r="A16" s="6">
        <v>15</v>
      </c>
      <c r="B16" s="6"/>
      <c r="C16" s="6"/>
      <c r="D16" s="6" t="s">
        <v>53</v>
      </c>
      <c r="E16" s="6" t="s">
        <v>22</v>
      </c>
      <c r="F16" s="8" t="s">
        <v>73</v>
      </c>
      <c r="G16" s="6" t="s">
        <v>24</v>
      </c>
      <c r="H16" s="6" t="s">
        <v>30</v>
      </c>
      <c r="I16" s="6" cm="1">
        <f t="array" ref="I16">_xlfn.SWITCH(H16,"XS",1,"S",2,"M",3,"L",5,"XL",8,"XXL",13,"XXXL",21,"")</f>
        <v>5</v>
      </c>
      <c r="J16" s="6" t="s">
        <v>75</v>
      </c>
      <c r="K16" s="6" t="s">
        <v>61</v>
      </c>
      <c r="L16" s="6"/>
    </row>
    <row r="17" spans="1:12" ht="409.6" x14ac:dyDescent="0.3">
      <c r="A17" s="6">
        <v>16</v>
      </c>
      <c r="B17" s="6"/>
      <c r="C17" s="6">
        <v>18.5</v>
      </c>
      <c r="D17" s="6"/>
      <c r="E17" s="6" t="s">
        <v>22</v>
      </c>
      <c r="F17" s="8" t="s">
        <v>74</v>
      </c>
      <c r="G17" s="6" t="s">
        <v>24</v>
      </c>
      <c r="H17" s="6" t="s">
        <v>30</v>
      </c>
      <c r="I17" s="6" cm="1">
        <f t="array" ref="I17">_xlfn.SWITCH(H17,"XS",1,"S",2,"M",3,"L",5,"XL",8,"XXL",13,"XXXL",21,"")</f>
        <v>5</v>
      </c>
      <c r="J17" s="6" t="s">
        <v>75</v>
      </c>
      <c r="K17" s="6" t="s">
        <v>61</v>
      </c>
      <c r="L17" s="6"/>
    </row>
    <row r="18" spans="1:12" ht="315.60000000000002" customHeight="1" x14ac:dyDescent="0.3">
      <c r="A18" s="6">
        <v>17</v>
      </c>
      <c r="B18" s="6"/>
      <c r="C18" s="6" t="s">
        <v>54</v>
      </c>
      <c r="D18" s="6"/>
      <c r="E18" s="6" t="s">
        <v>31</v>
      </c>
      <c r="F18" s="8" t="s">
        <v>55</v>
      </c>
      <c r="G18" s="6" t="s">
        <v>29</v>
      </c>
      <c r="H18" s="6" t="s">
        <v>27</v>
      </c>
      <c r="I18" s="6" cm="1">
        <f t="array" ref="I18">_xlfn.SWITCH(H18,"XS",1,"S",2,"M",3,"L",5,"XL",8,"XXL",13,"XXXL",21,"")</f>
        <v>3</v>
      </c>
      <c r="J18" s="6" t="s">
        <v>75</v>
      </c>
      <c r="K18" s="6"/>
      <c r="L18" s="6"/>
    </row>
    <row r="19" spans="1:12" ht="383.4" customHeight="1" x14ac:dyDescent="0.3">
      <c r="A19" s="6">
        <v>18</v>
      </c>
      <c r="B19" s="6"/>
      <c r="C19" s="6">
        <v>18.100000000000001</v>
      </c>
      <c r="D19" s="6"/>
      <c r="E19" s="6" t="s">
        <v>20</v>
      </c>
      <c r="F19" s="8" t="s">
        <v>56</v>
      </c>
      <c r="G19" s="6" t="s">
        <v>21</v>
      </c>
      <c r="H19" s="6" t="s">
        <v>23</v>
      </c>
      <c r="I19" s="6" cm="1">
        <f t="array" ref="I19">_xlfn.SWITCH(H19,"XS",1,"S",2,"M",3,"L",5,"XL",8,"XXL",13,"XXXL",21,"")</f>
        <v>2</v>
      </c>
      <c r="J19" s="6" t="s">
        <v>75</v>
      </c>
      <c r="K19" s="6"/>
      <c r="L19" s="6"/>
    </row>
    <row r="20" spans="1:12" ht="409.6" x14ac:dyDescent="0.3">
      <c r="A20" s="6">
        <v>19</v>
      </c>
      <c r="B20" s="6"/>
      <c r="C20" s="6">
        <v>18.2</v>
      </c>
      <c r="D20" s="6"/>
      <c r="E20" s="6" t="s">
        <v>20</v>
      </c>
      <c r="F20" s="8" t="s">
        <v>57</v>
      </c>
      <c r="G20" s="6" t="s">
        <v>21</v>
      </c>
      <c r="H20" s="6" t="s">
        <v>30</v>
      </c>
      <c r="I20" s="6" cm="1">
        <f t="array" ref="I20">_xlfn.SWITCH(H20,"XS",1,"S",2,"M",3,"L",5,"XL",8,"XXL",13,"XXXL",21,"")</f>
        <v>5</v>
      </c>
      <c r="J20" s="6" t="s">
        <v>75</v>
      </c>
      <c r="K20" s="6"/>
      <c r="L20" s="6"/>
    </row>
    <row r="21" spans="1:12" ht="360" x14ac:dyDescent="0.3">
      <c r="A21" s="6">
        <v>20</v>
      </c>
      <c r="B21" s="6"/>
      <c r="C21" s="6">
        <v>18.3</v>
      </c>
      <c r="D21" s="6"/>
      <c r="E21" s="6" t="s">
        <v>20</v>
      </c>
      <c r="F21" s="8" t="s">
        <v>60</v>
      </c>
      <c r="G21" s="6" t="s">
        <v>21</v>
      </c>
      <c r="H21" s="6" t="s">
        <v>27</v>
      </c>
      <c r="I21" s="6" cm="1">
        <f t="array" ref="I21">_xlfn.SWITCH(H21,"XS",1,"S",2,"M",3,"L",5,"XL",8,"XXL",13,"XXXL",21,"")</f>
        <v>3</v>
      </c>
      <c r="J21" s="6" t="s">
        <v>75</v>
      </c>
      <c r="K21" s="6"/>
      <c r="L21" s="6"/>
    </row>
    <row r="22" spans="1:12" ht="409.2" customHeight="1" x14ac:dyDescent="0.3">
      <c r="A22" s="6">
        <v>21</v>
      </c>
      <c r="B22" s="6"/>
      <c r="C22" s="6" t="s">
        <v>59</v>
      </c>
      <c r="D22" s="6"/>
      <c r="E22" s="6" t="s">
        <v>20</v>
      </c>
      <c r="F22" s="8" t="s">
        <v>65</v>
      </c>
      <c r="G22" s="6" t="s">
        <v>21</v>
      </c>
      <c r="H22" s="6" t="s">
        <v>27</v>
      </c>
      <c r="I22" s="6" cm="1">
        <f t="array" ref="I22">_xlfn.SWITCH(H22,"XS",1,"S",2,"M",3,"L",5,"XL",8,"XXL",13,"XXXL",21,"")</f>
        <v>3</v>
      </c>
      <c r="J22" s="6" t="s">
        <v>75</v>
      </c>
      <c r="K22" s="6"/>
      <c r="L22" s="6"/>
    </row>
    <row r="23" spans="1:12" ht="316.8" x14ac:dyDescent="0.3">
      <c r="A23" s="6">
        <v>22</v>
      </c>
      <c r="B23" s="6"/>
      <c r="C23" s="6">
        <v>18.399999999999999</v>
      </c>
      <c r="D23" s="6"/>
      <c r="E23" s="6" t="s">
        <v>20</v>
      </c>
      <c r="F23" s="8" t="s">
        <v>66</v>
      </c>
      <c r="G23" s="6" t="s">
        <v>21</v>
      </c>
      <c r="H23" s="6" t="s">
        <v>27</v>
      </c>
      <c r="I23" s="6" cm="1">
        <f t="array" ref="I23">_xlfn.SWITCH(H23,"XS",1,"S",2,"M",3,"L",5,"XL",8,"XXL",13,"XXXL",21,"")</f>
        <v>3</v>
      </c>
      <c r="J23" s="6" t="s">
        <v>75</v>
      </c>
      <c r="K23" s="6"/>
      <c r="L23" s="6"/>
    </row>
    <row r="24" spans="1:12" ht="403.2" x14ac:dyDescent="0.3">
      <c r="A24" s="6">
        <v>23</v>
      </c>
      <c r="B24" s="6"/>
      <c r="C24" s="6">
        <v>18.5</v>
      </c>
      <c r="D24" s="6"/>
      <c r="E24" s="6" t="s">
        <v>20</v>
      </c>
      <c r="F24" s="8" t="s">
        <v>67</v>
      </c>
      <c r="G24" s="6" t="s">
        <v>21</v>
      </c>
      <c r="H24" s="6" t="s">
        <v>30</v>
      </c>
      <c r="I24" s="6" cm="1">
        <f t="array" ref="I24">_xlfn.SWITCH(H24,"XS",1,"S",2,"M",3,"L",5,"XL",8,"XXL",13,"XXXL",21,"")</f>
        <v>5</v>
      </c>
      <c r="J24" s="6" t="s">
        <v>75</v>
      </c>
      <c r="K24" s="6"/>
      <c r="L24" s="6"/>
    </row>
    <row r="25" spans="1:12" ht="409.6" x14ac:dyDescent="0.3">
      <c r="A25" s="6">
        <v>24</v>
      </c>
      <c r="B25" s="6"/>
      <c r="C25" s="6" t="s">
        <v>54</v>
      </c>
      <c r="D25" s="6"/>
      <c r="E25" s="6" t="s">
        <v>31</v>
      </c>
      <c r="F25" s="8" t="s">
        <v>58</v>
      </c>
      <c r="G25" s="6" t="s">
        <v>29</v>
      </c>
      <c r="H25" s="6" t="s">
        <v>30</v>
      </c>
      <c r="I25" s="6" cm="1">
        <f t="array" ref="I25">_xlfn.SWITCH(H25,"XS",1,"S",2,"M",3,"L",5,"XL",8,"XXL",13,"XXXL",21,"")</f>
        <v>5</v>
      </c>
      <c r="J25" s="6" t="s">
        <v>75</v>
      </c>
      <c r="K25" s="6"/>
      <c r="L25" s="6"/>
    </row>
    <row r="26" spans="1:12" x14ac:dyDescent="0.3">
      <c r="A26" s="6"/>
      <c r="B26" s="6"/>
      <c r="C26" s="6"/>
      <c r="D26" s="6"/>
      <c r="E26" s="6"/>
      <c r="F26" s="8"/>
      <c r="G26" s="6"/>
      <c r="H26" s="6"/>
      <c r="I26" s="6" t="str" cm="1">
        <f t="array" ref="I26">_xlfn.SWITCH(H26,"XS",1,"S",2,"M",3,"L",5,"XL",8,"XXL",13,"XXXL",21,"")</f>
        <v/>
      </c>
      <c r="J26" s="6"/>
      <c r="K26" s="6"/>
      <c r="L26" s="6"/>
    </row>
    <row r="27" spans="1:12" x14ac:dyDescent="0.3">
      <c r="A27" s="6"/>
      <c r="B27" s="6"/>
      <c r="C27" s="6"/>
      <c r="D27" s="6"/>
      <c r="E27" s="6"/>
      <c r="F27" s="8"/>
      <c r="G27" s="6"/>
      <c r="H27" s="6"/>
      <c r="I27" s="6" t="str" cm="1">
        <f t="array" ref="I27">_xlfn.SWITCH(H27,"XS",1,"S",2,"M",3,"L",5,"XL",8,"XXL",13,"XXXL",21,"")</f>
        <v/>
      </c>
      <c r="J27" s="6"/>
      <c r="K27" s="6"/>
      <c r="L27" s="6"/>
    </row>
    <row r="28" spans="1:12" x14ac:dyDescent="0.3">
      <c r="A28" s="6"/>
      <c r="B28" s="6"/>
      <c r="C28" s="6"/>
      <c r="D28" s="6"/>
      <c r="E28" s="6"/>
      <c r="F28" s="8"/>
      <c r="G28" s="6"/>
      <c r="H28" s="6"/>
      <c r="I28" s="6" t="str" cm="1">
        <f t="array" ref="I28">_xlfn.SWITCH(H28,"XS",1,"S",2,"M",3,"L",5,"XL",8,"XXL",13,"XXXL",21,"")</f>
        <v/>
      </c>
      <c r="J28" s="6"/>
      <c r="K28" s="6"/>
      <c r="L28" s="6"/>
    </row>
    <row r="29" spans="1:12" x14ac:dyDescent="0.3">
      <c r="A29" s="6"/>
      <c r="B29" s="6"/>
      <c r="C29" s="6"/>
      <c r="D29" s="6"/>
      <c r="E29" s="6"/>
      <c r="F29" s="8"/>
      <c r="G29" s="6"/>
      <c r="H29" s="6"/>
      <c r="I29" s="6" t="str" cm="1">
        <f t="array" ref="I29">_xlfn.SWITCH(H29,"XS",1,"S",2,"M",3,"L",5,"XL",8,"XXL",13,"XXXL",21,"")</f>
        <v/>
      </c>
      <c r="J29" s="6"/>
      <c r="K29" s="6"/>
      <c r="L29" s="6"/>
    </row>
    <row r="30" spans="1:12" x14ac:dyDescent="0.3">
      <c r="A30" s="6"/>
      <c r="B30" s="6"/>
      <c r="C30" s="6"/>
      <c r="D30" s="6"/>
      <c r="E30" s="6"/>
      <c r="F30" s="8"/>
      <c r="G30" s="6"/>
      <c r="H30" s="6"/>
      <c r="I30" s="6" t="str" cm="1">
        <f t="array" ref="I30">_xlfn.SWITCH(H30,"XS",1,"S",2,"M",3,"L",5,"XL",8,"XXL",13,"XXXL",21,"")</f>
        <v/>
      </c>
      <c r="J30" s="6"/>
      <c r="K30" s="6"/>
      <c r="L30" s="6"/>
    </row>
    <row r="31" spans="1:12" x14ac:dyDescent="0.3">
      <c r="A31" s="6"/>
      <c r="B31" s="6"/>
      <c r="C31" s="6"/>
      <c r="D31" s="6"/>
      <c r="E31" s="6"/>
      <c r="F31" s="8"/>
      <c r="G31" s="6"/>
      <c r="H31" s="6"/>
      <c r="I31" s="6" t="str" cm="1">
        <f t="array" ref="I31">_xlfn.SWITCH(H31,"XS",1,"S",2,"M",3,"L",5,"XL",8,"XXL",13,"XXXL",21,"")</f>
        <v/>
      </c>
      <c r="J31" s="6"/>
      <c r="K31" s="6"/>
      <c r="L31" s="6"/>
    </row>
    <row r="32" spans="1:12" x14ac:dyDescent="0.3">
      <c r="A32" s="6"/>
      <c r="B32" s="6"/>
      <c r="C32" s="6"/>
      <c r="D32" s="6"/>
      <c r="E32" s="6"/>
      <c r="F32" s="8"/>
      <c r="G32" s="6"/>
      <c r="H32" s="6"/>
      <c r="I32" s="6" t="str" cm="1">
        <f t="array" ref="I32">_xlfn.SWITCH(H32,"XS",1,"S",2,"M",3,"L",5,"XL",8,"XXL",13,"XXXL",21,"")</f>
        <v/>
      </c>
      <c r="J32" s="6"/>
      <c r="K32" s="6"/>
      <c r="L32" s="6"/>
    </row>
    <row r="33" spans="1:12" x14ac:dyDescent="0.3">
      <c r="A33" s="6"/>
      <c r="B33" s="6"/>
      <c r="C33" s="6"/>
      <c r="D33" s="6"/>
      <c r="E33" s="6"/>
      <c r="F33" s="5"/>
      <c r="G33" s="6"/>
      <c r="H33" s="6"/>
      <c r="I33" s="6" t="str" cm="1">
        <f t="array" ref="I33">_xlfn.SWITCH(H33,"XS",1,"S",2,"M",3,"L",5,"XL",8,"XXL",13,"XXXL",21,"")</f>
        <v/>
      </c>
      <c r="J33" s="6"/>
      <c r="K33" s="6"/>
      <c r="L33" s="6"/>
    </row>
    <row r="34" spans="1:12" x14ac:dyDescent="0.3">
      <c r="A34" s="6"/>
      <c r="B34" s="6"/>
      <c r="C34" s="6"/>
      <c r="D34" s="6"/>
      <c r="E34" s="6"/>
      <c r="F34" s="7"/>
      <c r="G34" s="6"/>
      <c r="H34" s="6"/>
      <c r="I34" s="6" t="str" cm="1">
        <f t="array" ref="I34">_xlfn.SWITCH(H34,"XS",1,"S",2,"M",3,"L",5,"XL",8,"XXL",13,"XXXL",21,"")</f>
        <v/>
      </c>
      <c r="J34" s="6"/>
      <c r="K34" s="6"/>
      <c r="L34" s="6"/>
    </row>
    <row r="35" spans="1:12" x14ac:dyDescent="0.3">
      <c r="A35" s="6"/>
      <c r="B35" s="6"/>
      <c r="C35" s="6"/>
      <c r="D35" s="6"/>
      <c r="E35" s="6"/>
      <c r="F35" s="7"/>
      <c r="G35" s="6"/>
      <c r="H35" s="6"/>
      <c r="I35" s="6" t="str" cm="1">
        <f t="array" ref="I35">_xlfn.SWITCH(H35,"XS",1,"S",2,"M",3,"L",5,"XL",8,"XXL",13,"XXXL",21,"")</f>
        <v/>
      </c>
      <c r="J35" s="6"/>
      <c r="K35" s="6"/>
      <c r="L35" s="6"/>
    </row>
    <row r="36" spans="1:12" x14ac:dyDescent="0.3">
      <c r="A36" s="6"/>
      <c r="B36" s="6"/>
      <c r="C36" s="6"/>
      <c r="D36" s="6"/>
      <c r="E36" s="6"/>
      <c r="F36" s="7"/>
      <c r="G36" s="6"/>
      <c r="H36" s="6"/>
      <c r="I36" s="6" t="str" cm="1">
        <f t="array" ref="I36">_xlfn.SWITCH(H36,"XS",1,"S",2,"M",3,"L",5,"XL",8,"XXL",13,"XXXL",21,"")</f>
        <v/>
      </c>
      <c r="J36" s="6"/>
      <c r="K36" s="6"/>
      <c r="L36" s="6"/>
    </row>
    <row r="37" spans="1:12" x14ac:dyDescent="0.3">
      <c r="A37" s="6"/>
      <c r="B37" s="6"/>
      <c r="C37" s="6"/>
      <c r="D37" s="6"/>
      <c r="E37" s="6"/>
      <c r="F37" s="7"/>
      <c r="G37" s="6"/>
      <c r="H37" s="6"/>
      <c r="I37" s="6" t="str" cm="1">
        <f t="array" ref="I37">_xlfn.SWITCH(H37,"XS",1,"S",2,"M",3,"L",5,"XL",8,"XXL",13,"XXXL",21,"")</f>
        <v/>
      </c>
      <c r="J37" s="6"/>
      <c r="K37" s="6"/>
      <c r="L37" s="6"/>
    </row>
    <row r="38" spans="1:12" x14ac:dyDescent="0.3">
      <c r="A38" s="6"/>
      <c r="B38" s="6"/>
      <c r="C38" s="6"/>
      <c r="D38" s="6"/>
      <c r="E38" s="6"/>
      <c r="F38" s="7"/>
      <c r="G38" s="6"/>
      <c r="H38" s="6"/>
      <c r="I38" s="6" t="str" cm="1">
        <f t="array" ref="I38">_xlfn.SWITCH(H38,"XS",1,"S",2,"M",3,"L",5,"XL",8,"XXL",13,"XXXL",21,"")</f>
        <v/>
      </c>
      <c r="J38" s="6"/>
      <c r="K38" s="6"/>
      <c r="L38" s="6"/>
    </row>
    <row r="39" spans="1:12" x14ac:dyDescent="0.3">
      <c r="A39" s="6"/>
      <c r="B39" s="6"/>
      <c r="C39" s="6"/>
      <c r="D39" s="6"/>
      <c r="E39" s="6"/>
      <c r="F39" s="7"/>
      <c r="G39" s="6"/>
      <c r="H39" s="6"/>
      <c r="I39" s="6" t="str" cm="1">
        <f t="array" ref="I39">_xlfn.SWITCH(H39,"XS",1,"S",2,"M",3,"L",5,"XL",8,"XXL",13,"XXXL",21,"")</f>
        <v/>
      </c>
      <c r="J39" s="6"/>
      <c r="K39" s="6"/>
      <c r="L39" s="6"/>
    </row>
    <row r="40" spans="1:12" x14ac:dyDescent="0.3">
      <c r="A40" s="6"/>
      <c r="B40" s="6"/>
      <c r="C40" s="6"/>
      <c r="D40" s="6"/>
      <c r="E40" s="6"/>
      <c r="F40" s="7"/>
      <c r="G40" s="6"/>
      <c r="H40" s="6"/>
      <c r="I40" s="6" t="str" cm="1">
        <f t="array" ref="I40">_xlfn.SWITCH(H40,"XS",1,"S",2,"M",3,"L",5,"XL",8,"XXL",13,"XXXL",21,"")</f>
        <v/>
      </c>
      <c r="J40" s="6"/>
      <c r="K40" s="6"/>
      <c r="L40" s="6"/>
    </row>
    <row r="41" spans="1:12" x14ac:dyDescent="0.3">
      <c r="A41" s="6"/>
      <c r="B41" s="6"/>
      <c r="C41" s="6"/>
      <c r="D41" s="6"/>
      <c r="E41" s="6"/>
      <c r="F41" s="7"/>
      <c r="G41" s="6"/>
      <c r="H41" s="6"/>
      <c r="I41" s="6" t="str" cm="1">
        <f t="array" ref="I41">_xlfn.SWITCH(H41,"XS",1,"S",2,"M",3,"L",5,"XL",8,"XXL",13,"XXXL",21,"")</f>
        <v/>
      </c>
      <c r="J41" s="6"/>
      <c r="K41" s="6"/>
      <c r="L41" s="6"/>
    </row>
    <row r="42" spans="1:12" x14ac:dyDescent="0.3">
      <c r="A42" s="6"/>
      <c r="B42" s="6"/>
      <c r="C42" s="6"/>
      <c r="D42" s="6"/>
      <c r="E42" s="6"/>
      <c r="F42" s="7"/>
      <c r="G42" s="6"/>
      <c r="H42" s="6"/>
      <c r="I42" s="6" t="str" cm="1">
        <f t="array" ref="I42">_xlfn.SWITCH(H42,"XS",1,"S",2,"M",3,"L",5,"XL",8,"XXL",13,"XXXL",21,"")</f>
        <v/>
      </c>
      <c r="J42" s="6"/>
      <c r="K42" s="6"/>
      <c r="L42" s="6"/>
    </row>
    <row r="43" spans="1:12" x14ac:dyDescent="0.3">
      <c r="A43" s="6"/>
      <c r="B43" s="6"/>
      <c r="C43" s="6"/>
      <c r="D43" s="6"/>
      <c r="E43" s="6"/>
      <c r="F43" s="7"/>
      <c r="G43" s="6"/>
      <c r="H43" s="6"/>
      <c r="I43" s="6" t="str" cm="1">
        <f t="array" ref="I43">_xlfn.SWITCH(H43,"XS",1,"S",2,"M",3,"L",5,"XL",8,"XXL",13,"XXXL",21,"")</f>
        <v/>
      </c>
      <c r="J43" s="6"/>
      <c r="K43" s="6"/>
      <c r="L43" s="6"/>
    </row>
    <row r="44" spans="1:12" x14ac:dyDescent="0.3">
      <c r="A44" s="6"/>
      <c r="B44" s="6"/>
      <c r="C44" s="6"/>
      <c r="D44" s="6"/>
      <c r="E44" s="6"/>
      <c r="F44" s="7"/>
      <c r="G44" s="6"/>
      <c r="H44" s="6"/>
      <c r="I44" s="6" t="str" cm="1">
        <f t="array" ref="I44">_xlfn.SWITCH(H44,"XS",1,"S",2,"M",3,"L",5,"XL",8,"XXL",13,"XXXL",21,"")</f>
        <v/>
      </c>
      <c r="J44" s="6"/>
      <c r="K44" s="6"/>
      <c r="L44" s="6"/>
    </row>
    <row r="45" spans="1:12" x14ac:dyDescent="0.3">
      <c r="A45" s="6"/>
      <c r="B45" s="6"/>
      <c r="C45" s="6"/>
      <c r="D45" s="6"/>
      <c r="E45" s="6"/>
      <c r="F45" s="7"/>
      <c r="G45" s="6"/>
      <c r="H45" s="6"/>
      <c r="I45" s="6" t="str" cm="1">
        <f t="array" ref="I45">_xlfn.SWITCH(H45,"XS",1,"S",2,"M",3,"L",5,"XL",8,"XXL",13,"XXXL",21,"")</f>
        <v/>
      </c>
      <c r="J45" s="6"/>
      <c r="K45" s="6"/>
      <c r="L45" s="6"/>
    </row>
    <row r="46" spans="1:12" x14ac:dyDescent="0.3">
      <c r="A46" s="6"/>
      <c r="B46" s="6"/>
      <c r="C46" s="6"/>
      <c r="D46" s="6"/>
      <c r="E46" s="6"/>
      <c r="F46" s="7"/>
      <c r="G46" s="6"/>
      <c r="H46" s="6"/>
      <c r="I46" s="6" t="str" cm="1">
        <f t="array" ref="I46">_xlfn.SWITCH(H46,"XS",1,"S",2,"M",3,"L",5,"XL",8,"XXL",13,"XXXL",21,"")</f>
        <v/>
      </c>
      <c r="J46" s="6"/>
      <c r="K46" s="6"/>
      <c r="L46" s="6"/>
    </row>
    <row r="47" spans="1:12" x14ac:dyDescent="0.3">
      <c r="A47" s="6"/>
      <c r="B47" s="6"/>
      <c r="C47" s="6"/>
      <c r="D47" s="6"/>
      <c r="E47" s="6"/>
      <c r="F47" s="7"/>
      <c r="G47" s="6"/>
      <c r="H47" s="6"/>
      <c r="I47" s="6" t="str" cm="1">
        <f t="array" ref="I47">_xlfn.SWITCH(H47,"XS",1,"S",2,"M",3,"L",5,"XL",8,"XXL",13,"XXXL",21,"")</f>
        <v/>
      </c>
      <c r="J47" s="6"/>
      <c r="K47" s="6"/>
      <c r="L47" s="6"/>
    </row>
    <row r="48" spans="1:12" x14ac:dyDescent="0.3">
      <c r="A48" s="6"/>
      <c r="B48" s="6"/>
      <c r="C48" s="6"/>
      <c r="D48" s="6"/>
      <c r="E48" s="6"/>
      <c r="F48" s="7"/>
      <c r="G48" s="6"/>
      <c r="H48" s="6"/>
      <c r="I48" s="6" t="str" cm="1">
        <f t="array" ref="I48">_xlfn.SWITCH(H48,"XS",1,"S",2,"M",3,"L",5,"XL",8,"XXL",13,"XXXL",21,"")</f>
        <v/>
      </c>
      <c r="J48" s="6"/>
      <c r="K48" s="6"/>
      <c r="L48" s="6"/>
    </row>
    <row r="49" spans="1:12" x14ac:dyDescent="0.3">
      <c r="A49" s="6"/>
      <c r="B49" s="6"/>
      <c r="C49" s="6"/>
      <c r="D49" s="6"/>
      <c r="E49" s="6"/>
      <c r="F49" s="7"/>
      <c r="G49" s="6"/>
      <c r="H49" s="6"/>
      <c r="I49" s="6" t="str" cm="1">
        <f t="array" ref="I49">_xlfn.SWITCH(H49,"XS",1,"S",2,"M",3,"L",5,"XL",8,"XXL",13,"XXXL",21,"")</f>
        <v/>
      </c>
      <c r="J49" s="6"/>
      <c r="K49" s="6"/>
      <c r="L49" s="6"/>
    </row>
    <row r="50" spans="1:12" x14ac:dyDescent="0.3">
      <c r="A50" s="6"/>
      <c r="B50" s="6"/>
      <c r="C50" s="6"/>
      <c r="D50" s="6"/>
      <c r="E50" s="6"/>
      <c r="F50" s="7"/>
      <c r="G50" s="6"/>
      <c r="H50" s="6"/>
      <c r="I50" s="6" t="str" cm="1">
        <f t="array" ref="I50">_xlfn.SWITCH(H50,"XS",1,"S",2,"M",3,"L",5,"XL",8,"XXL",13,"XXXL",21,"")</f>
        <v/>
      </c>
      <c r="J50" s="6"/>
      <c r="K50" s="6"/>
      <c r="L50" s="6"/>
    </row>
    <row r="51" spans="1:12" x14ac:dyDescent="0.3">
      <c r="A51" s="6"/>
      <c r="B51" s="6"/>
      <c r="C51" s="6"/>
      <c r="D51" s="6"/>
      <c r="E51" s="6"/>
      <c r="F51" s="8"/>
      <c r="G51" s="6"/>
      <c r="H51" s="6"/>
      <c r="I51" s="6" t="str" cm="1">
        <f t="array" ref="I51">_xlfn.SWITCH(H51,"XS",1,"S",2,"M",3,"L",5,"XL",8,"XXL",13,"XXXL",21,"")</f>
        <v/>
      </c>
      <c r="J51" s="6"/>
      <c r="K51" s="6"/>
      <c r="L51" s="6"/>
    </row>
    <row r="52" spans="1:12" x14ac:dyDescent="0.3">
      <c r="A52" s="6"/>
      <c r="B52" s="6"/>
      <c r="C52" s="6"/>
      <c r="D52" s="6"/>
      <c r="E52" s="6"/>
      <c r="F52" s="8"/>
      <c r="G52" s="6"/>
      <c r="H52" s="6"/>
      <c r="I52" s="6" t="str" cm="1">
        <f t="array" ref="I52">_xlfn.SWITCH(H52,"XS",1,"S",2,"M",3,"L",5,"XL",8,"XXL",13,"XXXL",21,"")</f>
        <v/>
      </c>
      <c r="J52" s="6"/>
      <c r="K52" s="6"/>
      <c r="L52" s="6"/>
    </row>
    <row r="53" spans="1:12" x14ac:dyDescent="0.3">
      <c r="A53" s="6"/>
      <c r="B53" s="6"/>
      <c r="C53" s="6"/>
      <c r="D53" s="6"/>
      <c r="E53" s="6"/>
      <c r="F53" s="8"/>
      <c r="G53" s="6"/>
      <c r="H53" s="6"/>
      <c r="I53" s="6" t="str" cm="1">
        <f t="array" ref="I53">_xlfn.SWITCH(H53,"XS",1,"S",2,"M",3,"L",5,"XL",8,"XXL",13,"XXXL",21,"")</f>
        <v/>
      </c>
      <c r="J53" s="6"/>
      <c r="K53" s="6"/>
      <c r="L53" s="6"/>
    </row>
    <row r="54" spans="1:12" x14ac:dyDescent="0.3">
      <c r="A54" s="6"/>
      <c r="B54" s="6"/>
      <c r="C54" s="6"/>
      <c r="D54" s="6"/>
      <c r="E54" s="6"/>
      <c r="F54" s="8"/>
      <c r="G54" s="6"/>
      <c r="H54" s="6"/>
      <c r="I54" s="6" t="str" cm="1">
        <f t="array" ref="I54">_xlfn.SWITCH(H54,"XS",1,"S",2,"M",3,"L",5,"XL",8,"XXL",13,"XXXL",21,"")</f>
        <v/>
      </c>
      <c r="J54" s="6"/>
      <c r="K54" s="6"/>
      <c r="L54" s="6"/>
    </row>
    <row r="55" spans="1:12" x14ac:dyDescent="0.3">
      <c r="A55" s="6"/>
      <c r="B55" s="6"/>
      <c r="C55" s="6"/>
      <c r="D55" s="6"/>
      <c r="E55" s="6"/>
      <c r="F55" s="8"/>
      <c r="G55" s="6"/>
      <c r="H55" s="6"/>
      <c r="I55" s="6" t="str" cm="1">
        <f t="array" ref="I55">_xlfn.SWITCH(H55,"XS",1,"S",2,"M",3,"L",5,"XL",8,"XXL",13,"XXXL",21,"")</f>
        <v/>
      </c>
      <c r="J55" s="6"/>
      <c r="K55" s="6"/>
      <c r="L55" s="6"/>
    </row>
    <row r="56" spans="1:12" x14ac:dyDescent="0.3">
      <c r="A56" s="6"/>
      <c r="B56" s="6"/>
      <c r="C56" s="6"/>
      <c r="D56" s="6"/>
      <c r="E56" s="6"/>
      <c r="F56" s="8"/>
      <c r="G56" s="6"/>
      <c r="H56" s="6"/>
      <c r="I56" s="6" t="str" cm="1">
        <f t="array" ref="I56">_xlfn.SWITCH(H56,"XS",1,"S",2,"M",3,"L",5,"XL",8,"XXL",13,"XXXL",21,"")</f>
        <v/>
      </c>
      <c r="J56" s="6"/>
      <c r="K56" s="6"/>
      <c r="L56" s="6"/>
    </row>
    <row r="57" spans="1:12" x14ac:dyDescent="0.3">
      <c r="A57" s="6"/>
      <c r="B57" s="6"/>
      <c r="C57" s="6"/>
      <c r="D57" s="6"/>
      <c r="E57" s="6"/>
      <c r="F57" s="7"/>
      <c r="G57" s="6"/>
      <c r="H57" s="6"/>
      <c r="I57" s="6" t="str" cm="1">
        <f t="array" ref="I57">_xlfn.SWITCH(H57,"XS",1,"S",2,"M",3,"L",5,"XL",8,"XXL",13,"XXXL",21,"")</f>
        <v/>
      </c>
      <c r="J57" s="6"/>
      <c r="K57" s="6"/>
      <c r="L57" s="6"/>
    </row>
    <row r="58" spans="1:12" x14ac:dyDescent="0.3">
      <c r="A58" s="6"/>
      <c r="B58" s="6"/>
      <c r="C58" s="6"/>
      <c r="D58" s="6"/>
      <c r="E58" s="6"/>
      <c r="F58" s="7"/>
      <c r="G58" s="6"/>
      <c r="H58" s="6"/>
      <c r="I58" s="6" t="str" cm="1">
        <f t="array" ref="I58">_xlfn.SWITCH(H58,"XS",1,"S",2,"M",3,"L",5,"XL",8,"XXL",13,"XXXL",21,"")</f>
        <v/>
      </c>
      <c r="J58" s="6"/>
      <c r="K58" s="6"/>
      <c r="L58" s="6"/>
    </row>
    <row r="59" spans="1:12" x14ac:dyDescent="0.3">
      <c r="A59" s="6"/>
      <c r="B59" s="6"/>
      <c r="C59" s="6"/>
      <c r="D59" s="6"/>
      <c r="E59" s="6"/>
      <c r="F59" s="7"/>
      <c r="G59" s="6"/>
      <c r="H59" s="6"/>
      <c r="I59" s="6" t="str" cm="1">
        <f t="array" ref="I59">_xlfn.SWITCH(H59,"XS",1,"S",2,"M",3,"L",5,"XL",8,"XXL",13,"XXXL",21,"")</f>
        <v/>
      </c>
      <c r="J59" s="6"/>
      <c r="K59" s="6"/>
      <c r="L59" s="6"/>
    </row>
    <row r="60" spans="1:12" x14ac:dyDescent="0.3">
      <c r="A60" s="6"/>
      <c r="B60" s="6"/>
      <c r="C60" s="6"/>
      <c r="D60" s="6"/>
      <c r="E60" s="6"/>
      <c r="F60" s="7"/>
      <c r="G60" s="6"/>
      <c r="H60" s="6"/>
      <c r="I60" s="6" t="str" cm="1">
        <f t="array" ref="I60">_xlfn.SWITCH(H60,"XS",1,"S",2,"M",3,"L",5,"XL",8,"XXL",13,"XXXL",21,"")</f>
        <v/>
      </c>
      <c r="J60" s="6"/>
      <c r="K60" s="6"/>
      <c r="L60" s="6"/>
    </row>
    <row r="61" spans="1:12" x14ac:dyDescent="0.3">
      <c r="A61" s="6"/>
      <c r="B61" s="6"/>
      <c r="C61" s="6"/>
      <c r="D61" s="6"/>
      <c r="E61" s="6"/>
      <c r="F61" s="7"/>
      <c r="G61" s="6"/>
      <c r="H61" s="6"/>
      <c r="I61" s="6" t="str" cm="1">
        <f t="array" ref="I61">_xlfn.SWITCH(H61,"XS",1,"S",2,"M",3,"L",5,"XL",8,"XXL",13,"XXXL",21,"")</f>
        <v/>
      </c>
      <c r="J61" s="6"/>
      <c r="K61" s="6"/>
      <c r="L61" s="6"/>
    </row>
    <row r="62" spans="1:12" x14ac:dyDescent="0.3">
      <c r="A62" s="6"/>
      <c r="B62" s="6"/>
      <c r="C62" s="6"/>
      <c r="D62" s="6"/>
      <c r="E62" s="6"/>
      <c r="F62" s="7"/>
      <c r="G62" s="6"/>
      <c r="H62" s="6"/>
      <c r="I62" s="6" t="str" cm="1">
        <f t="array" ref="I62">_xlfn.SWITCH(H62,"XS",1,"S",2,"M",3,"L",5,"XL",8,"XXL",13,"XXXL",21,"")</f>
        <v/>
      </c>
      <c r="J62" s="6"/>
      <c r="K62" s="6"/>
      <c r="L62" s="6"/>
    </row>
    <row r="63" spans="1:12" x14ac:dyDescent="0.3">
      <c r="A63" s="6"/>
      <c r="B63" s="6"/>
      <c r="C63" s="6"/>
      <c r="D63" s="6"/>
      <c r="E63" s="6"/>
      <c r="F63" s="7"/>
      <c r="G63" s="6"/>
      <c r="H63" s="6"/>
      <c r="I63" s="6" t="str" cm="1">
        <f t="array" ref="I63">_xlfn.SWITCH(H63,"XS",1,"S",2,"M",3,"L",5,"XL",8,"XXL",13,"XXXL",21,"")</f>
        <v/>
      </c>
      <c r="J63" s="6"/>
      <c r="K63" s="6"/>
      <c r="L63" s="6"/>
    </row>
    <row r="64" spans="1:12" x14ac:dyDescent="0.3">
      <c r="A64" s="6"/>
      <c r="B64" s="6"/>
      <c r="C64" s="6"/>
      <c r="D64" s="6"/>
      <c r="E64" s="6"/>
      <c r="F64" s="7"/>
      <c r="G64" s="6"/>
      <c r="H64" s="6"/>
      <c r="I64" s="6" t="str" cm="1">
        <f t="array" ref="I64">_xlfn.SWITCH(H64,"XS",1,"S",2,"M",3,"L",5,"XL",8,"XXL",13,"XXXL",21,"")</f>
        <v/>
      </c>
      <c r="J64" s="6"/>
      <c r="K64" s="6"/>
      <c r="L64" s="6"/>
    </row>
    <row r="65" spans="1:12" x14ac:dyDescent="0.3">
      <c r="A65" s="6"/>
      <c r="B65" s="6"/>
      <c r="C65" s="6"/>
      <c r="D65" s="6"/>
      <c r="E65" s="6"/>
      <c r="F65" s="7"/>
      <c r="G65" s="6"/>
      <c r="H65" s="6"/>
      <c r="I65" s="6" t="str" cm="1">
        <f t="array" ref="I65">_xlfn.SWITCH(H65,"XS",1,"S",2,"M",3,"L",5,"XL",8,"XXL",13,"XXXL",21,"")</f>
        <v/>
      </c>
      <c r="J65" s="6"/>
      <c r="K65" s="6"/>
      <c r="L65" s="6"/>
    </row>
    <row r="66" spans="1:12" x14ac:dyDescent="0.3">
      <c r="A66" s="6"/>
      <c r="B66" s="6"/>
      <c r="C66" s="6"/>
      <c r="D66" s="6"/>
      <c r="E66" s="6"/>
      <c r="F66" s="7"/>
      <c r="G66" s="6"/>
      <c r="H66" s="6"/>
      <c r="I66" s="6" t="str" cm="1">
        <f t="array" ref="I66">_xlfn.SWITCH(H66,"XS",1,"S",2,"M",3,"L",5,"XL",8,"XXL",13,"XXXL",21,"")</f>
        <v/>
      </c>
      <c r="J66" s="6"/>
      <c r="K66" s="6"/>
      <c r="L66" s="6"/>
    </row>
    <row r="67" spans="1:12" x14ac:dyDescent="0.3">
      <c r="A67" s="6"/>
      <c r="B67" s="6"/>
      <c r="C67" s="6"/>
      <c r="D67" s="6"/>
      <c r="E67" s="6"/>
      <c r="F67" s="7"/>
      <c r="G67" s="6"/>
      <c r="H67" s="6"/>
      <c r="I67" s="6" t="str" cm="1">
        <f t="array" ref="I67">_xlfn.SWITCH(H67,"XS",1,"S",2,"M",3,"L",5,"XL",8,"XXL",13,"XXXL",21,"")</f>
        <v/>
      </c>
      <c r="J67" s="6"/>
      <c r="K67" s="6"/>
      <c r="L67" s="6"/>
    </row>
    <row r="68" spans="1:12" x14ac:dyDescent="0.3">
      <c r="A68" s="6"/>
      <c r="B68" s="6"/>
      <c r="C68" s="6"/>
      <c r="D68" s="6"/>
      <c r="E68" s="6"/>
      <c r="F68" s="5"/>
      <c r="G68" s="6"/>
      <c r="H68" s="6"/>
      <c r="I68" s="6" t="str" cm="1">
        <f t="array" ref="I68">_xlfn.SWITCH(H68,"XS",1,"S",2,"M",3,"L",5,"XL",8,"XXL",13,"XXXL",21,"")</f>
        <v/>
      </c>
      <c r="J68" s="6"/>
      <c r="K68" s="6"/>
      <c r="L68" s="6"/>
    </row>
    <row r="69" spans="1:12" x14ac:dyDescent="0.3">
      <c r="A69" s="6"/>
      <c r="B69" s="6"/>
      <c r="C69" s="6"/>
      <c r="D69" s="6"/>
      <c r="E69" s="6"/>
      <c r="F69" s="7"/>
      <c r="G69" s="6"/>
      <c r="H69" s="6"/>
      <c r="I69" s="6" t="str" cm="1">
        <f t="array" ref="I69">_xlfn.SWITCH(H69,"XS",1,"S",2,"M",3,"L",5,"XL",8,"XXL",13,"XXXL",21,"")</f>
        <v/>
      </c>
      <c r="J69" s="6"/>
      <c r="K69" s="6"/>
      <c r="L69" s="6"/>
    </row>
    <row r="70" spans="1:12" x14ac:dyDescent="0.3">
      <c r="A70" s="6"/>
      <c r="B70" s="6"/>
      <c r="C70" s="6"/>
      <c r="D70" s="6"/>
      <c r="E70" s="6"/>
      <c r="F70" s="5"/>
      <c r="G70" s="6"/>
      <c r="H70" s="6"/>
      <c r="I70" s="6" t="str" cm="1">
        <f t="array" ref="I70">_xlfn.SWITCH(H70,"XS",1,"S",2,"M",3,"L",5,"XL",8,"XXL",13,"XXXL",21,"")</f>
        <v/>
      </c>
      <c r="J70" s="6"/>
      <c r="K70" s="6"/>
      <c r="L70" s="6"/>
    </row>
    <row r="71" spans="1:12" x14ac:dyDescent="0.3">
      <c r="A71" s="6"/>
      <c r="B71" s="6"/>
      <c r="C71" s="6"/>
      <c r="D71" s="6"/>
      <c r="E71" s="6"/>
      <c r="F71" s="5"/>
      <c r="G71" s="6"/>
      <c r="H71" s="6"/>
      <c r="I71" s="6" t="str" cm="1">
        <f t="array" ref="I71">_xlfn.SWITCH(H71,"XS",1,"S",2,"M",3,"L",5,"XL",8,"XXL",13,"XXXL",21,"")</f>
        <v/>
      </c>
      <c r="J71" s="6"/>
      <c r="K71" s="6"/>
      <c r="L71" s="6"/>
    </row>
    <row r="72" spans="1:12" x14ac:dyDescent="0.3">
      <c r="A72" s="6"/>
      <c r="B72" s="6"/>
      <c r="C72" s="6"/>
      <c r="D72" s="6"/>
      <c r="E72" s="6"/>
      <c r="F72" s="7"/>
      <c r="G72" s="6"/>
      <c r="H72" s="6"/>
      <c r="I72" s="6" t="str" cm="1">
        <f t="array" ref="I72">_xlfn.SWITCH(H72,"XS",1,"S",2,"M",3,"L",5,"XL",8,"XXL",13,"XXXL",21,"")</f>
        <v/>
      </c>
      <c r="J72" s="6"/>
      <c r="K72" s="6"/>
      <c r="L72" s="6"/>
    </row>
    <row r="73" spans="1:12" x14ac:dyDescent="0.3">
      <c r="A73" s="6"/>
      <c r="B73" s="6"/>
      <c r="C73" s="6"/>
      <c r="D73" s="6"/>
      <c r="E73" s="6"/>
      <c r="F73" s="7"/>
      <c r="G73" s="6"/>
      <c r="H73" s="6"/>
      <c r="I73" s="6" t="str" cm="1">
        <f t="array" ref="I73">_xlfn.SWITCH(H73,"XS",1,"S",2,"M",3,"L",5,"XL",8,"XXL",13,"XXXL",21,"")</f>
        <v/>
      </c>
      <c r="J73" s="6"/>
      <c r="K73" s="6"/>
      <c r="L73" s="6"/>
    </row>
    <row r="74" spans="1:12" x14ac:dyDescent="0.3">
      <c r="A74" s="6"/>
      <c r="B74" s="6"/>
      <c r="C74" s="6"/>
      <c r="D74" s="6"/>
      <c r="E74" s="6"/>
      <c r="F74" s="7"/>
      <c r="G74" s="6"/>
      <c r="H74" s="6"/>
      <c r="I74" s="6" t="str" cm="1">
        <f t="array" ref="I74">_xlfn.SWITCH(H74,"XS",1,"S",2,"M",3,"L",5,"XL",8,"XXL",13,"XXXL",21,"")</f>
        <v/>
      </c>
      <c r="J74" s="6"/>
      <c r="K74" s="6"/>
      <c r="L74" s="6"/>
    </row>
    <row r="75" spans="1:12" x14ac:dyDescent="0.3">
      <c r="A75" s="6"/>
      <c r="B75" s="6"/>
      <c r="C75" s="6"/>
      <c r="D75" s="6"/>
      <c r="E75" s="6"/>
      <c r="F75" s="7"/>
      <c r="G75" s="6"/>
      <c r="H75" s="6"/>
      <c r="I75" s="6" t="str" cm="1">
        <f t="array" ref="I75">_xlfn.SWITCH(H75,"XS",1,"S",2,"M",3,"L",5,"XL",8,"XXL",13,"XXXL",21,"")</f>
        <v/>
      </c>
      <c r="J75" s="6"/>
      <c r="K75" s="6"/>
      <c r="L75" s="6"/>
    </row>
    <row r="76" spans="1:12" x14ac:dyDescent="0.3">
      <c r="A76" s="6"/>
      <c r="B76" s="6"/>
      <c r="C76" s="6"/>
      <c r="D76" s="6"/>
      <c r="E76" s="6"/>
      <c r="F76" s="7"/>
      <c r="G76" s="6"/>
      <c r="H76" s="6"/>
      <c r="I76" s="6" t="str" cm="1">
        <f t="array" ref="I76">_xlfn.SWITCH(H76,"XS",1,"S",2,"M",3,"L",5,"XL",8,"XXL",13,"XXXL",21,"")</f>
        <v/>
      </c>
      <c r="J76" s="6"/>
      <c r="K76" s="6"/>
      <c r="L76" s="6"/>
    </row>
    <row r="77" spans="1:12" x14ac:dyDescent="0.3">
      <c r="A77" s="6"/>
      <c r="B77" s="6"/>
      <c r="C77" s="6"/>
      <c r="D77" s="6"/>
      <c r="E77" s="6"/>
      <c r="F77" s="8"/>
      <c r="G77" s="6"/>
      <c r="H77" s="6"/>
      <c r="I77" s="6" t="str" cm="1">
        <f t="array" ref="I77">_xlfn.SWITCH(H77,"XS",1,"S",2,"M",3,"L",5,"XL",8,"XXL",13,"XXXL",21,"")</f>
        <v/>
      </c>
      <c r="J77" s="6"/>
      <c r="K77" s="6"/>
      <c r="L77" s="6"/>
    </row>
    <row r="78" spans="1:12" x14ac:dyDescent="0.3">
      <c r="A78" s="6"/>
      <c r="B78" s="6"/>
      <c r="C78" s="6"/>
      <c r="D78" s="6"/>
      <c r="E78" s="6"/>
      <c r="F78" s="8"/>
      <c r="G78" s="6"/>
      <c r="H78" s="6"/>
      <c r="I78" s="6" t="str" cm="1">
        <f t="array" ref="I78">_xlfn.SWITCH(H78,"XS",1,"S",2,"M",3,"L",5,"XL",8,"XXL",13,"XXXL",21,"")</f>
        <v/>
      </c>
      <c r="J78" s="6"/>
      <c r="K78" s="6"/>
      <c r="L78" s="6"/>
    </row>
    <row r="79" spans="1:12" x14ac:dyDescent="0.3">
      <c r="A79" s="6"/>
      <c r="B79" s="6"/>
      <c r="C79" s="6"/>
      <c r="D79" s="6"/>
      <c r="E79" s="6"/>
      <c r="F79" s="8"/>
      <c r="G79" s="6"/>
      <c r="H79" s="6"/>
      <c r="I79" s="6" t="str" cm="1">
        <f t="array" ref="I79">_xlfn.SWITCH(H79,"XS",1,"S",2,"M",3,"L",5,"XL",8,"XXL",13,"XXXL",21,"")</f>
        <v/>
      </c>
      <c r="J79" s="6"/>
      <c r="K79" s="6"/>
      <c r="L79" s="6"/>
    </row>
    <row r="80" spans="1:12" x14ac:dyDescent="0.3">
      <c r="A80" s="6"/>
      <c r="B80" s="6"/>
      <c r="C80" s="6"/>
      <c r="D80" s="6"/>
      <c r="E80" s="6"/>
      <c r="F80" s="8"/>
      <c r="G80" s="6"/>
      <c r="H80" s="6"/>
      <c r="I80" s="6" t="str" cm="1">
        <f t="array" ref="I80">_xlfn.SWITCH(H80,"XS",1,"S",2,"M",3,"L",5,"XL",8,"XXL",13,"XXXL",21,"")</f>
        <v/>
      </c>
      <c r="J80" s="6"/>
      <c r="K80" s="6"/>
      <c r="L80" s="6"/>
    </row>
    <row r="81" spans="1:12" x14ac:dyDescent="0.3">
      <c r="A81" s="6"/>
      <c r="B81" s="6"/>
      <c r="C81" s="6"/>
      <c r="D81" s="6"/>
      <c r="E81" s="6"/>
      <c r="F81" s="8"/>
      <c r="G81" s="6"/>
      <c r="H81" s="6"/>
      <c r="I81" s="6" t="str" cm="1">
        <f t="array" ref="I81">_xlfn.SWITCH(H81,"XS",1,"S",2,"M",3,"L",5,"XL",8,"XXL",13,"XXXL",21,"")</f>
        <v/>
      </c>
      <c r="J81" s="6"/>
      <c r="K81" s="6"/>
      <c r="L81" s="6"/>
    </row>
    <row r="82" spans="1:12" x14ac:dyDescent="0.3">
      <c r="A82" s="6"/>
      <c r="B82" s="6"/>
      <c r="C82" s="6"/>
      <c r="D82" s="6"/>
      <c r="E82" s="6"/>
      <c r="F82" s="8"/>
      <c r="G82" s="6"/>
      <c r="H82" s="6"/>
      <c r="I82" s="6" t="str" cm="1">
        <f t="array" ref="I82">_xlfn.SWITCH(H82,"XS",1,"S",2,"M",3,"L",5,"XL",8,"XXL",13,"XXXL",21,"")</f>
        <v/>
      </c>
      <c r="J82" s="6"/>
      <c r="K82" s="6"/>
      <c r="L82" s="6"/>
    </row>
    <row r="83" spans="1:12" x14ac:dyDescent="0.3">
      <c r="A83" s="6"/>
      <c r="B83" s="6"/>
      <c r="C83" s="6"/>
      <c r="D83" s="6"/>
      <c r="E83" s="6"/>
      <c r="F83" s="8"/>
      <c r="G83" s="6"/>
      <c r="H83" s="6"/>
      <c r="I83" s="6" t="str" cm="1">
        <f t="array" ref="I83">_xlfn.SWITCH(H83,"XS",1,"S",2,"M",3,"L",5,"XL",8,"XXL",13,"XXXL",21,"")</f>
        <v/>
      </c>
      <c r="J83" s="6"/>
      <c r="K83" s="6"/>
      <c r="L83" s="6"/>
    </row>
    <row r="84" spans="1:12" x14ac:dyDescent="0.3">
      <c r="A84" s="6"/>
      <c r="B84" s="6"/>
      <c r="C84" s="6"/>
      <c r="D84" s="6"/>
      <c r="E84" s="6"/>
      <c r="F84" s="8"/>
      <c r="G84" s="6"/>
      <c r="H84" s="6"/>
      <c r="I84" s="6" t="str" cm="1">
        <f t="array" ref="I84">_xlfn.SWITCH(H84,"XS",1,"S",2,"M",3,"L",5,"XL",8,"XXL",13,"XXXL",21,"")</f>
        <v/>
      </c>
      <c r="J84" s="6"/>
      <c r="K84" s="6"/>
      <c r="L84" s="6"/>
    </row>
    <row r="85" spans="1:12" x14ac:dyDescent="0.3">
      <c r="A85" s="6"/>
      <c r="B85" s="6"/>
      <c r="C85" s="6"/>
      <c r="D85" s="6"/>
      <c r="E85" s="6"/>
      <c r="F85" s="8"/>
      <c r="G85" s="6"/>
      <c r="H85" s="6"/>
      <c r="I85" s="6" t="str" cm="1">
        <f t="array" ref="I85">_xlfn.SWITCH(H85,"XS",1,"S",2,"M",3,"L",5,"XL",8,"XXL",13,"XXXL",21,"")</f>
        <v/>
      </c>
      <c r="J85" s="6"/>
      <c r="K85" s="6"/>
      <c r="L85" s="6"/>
    </row>
    <row r="86" spans="1:12" x14ac:dyDescent="0.3">
      <c r="A86" s="6"/>
      <c r="B86" s="6"/>
      <c r="C86" s="6"/>
      <c r="D86" s="6"/>
      <c r="E86" s="6"/>
      <c r="F86" s="8"/>
      <c r="G86" s="6"/>
      <c r="H86" s="6"/>
      <c r="I86" s="6" t="str" cm="1">
        <f t="array" ref="I86">_xlfn.SWITCH(H86,"XS",1,"S",2,"M",3,"L",5,"XL",8,"XXL",13,"XXXL",21,"")</f>
        <v/>
      </c>
      <c r="J86" s="6"/>
      <c r="K86" s="6"/>
      <c r="L86" s="6"/>
    </row>
    <row r="87" spans="1:12" x14ac:dyDescent="0.3">
      <c r="A87" s="6"/>
      <c r="B87" s="6"/>
      <c r="C87" s="6"/>
      <c r="D87" s="6"/>
      <c r="E87" s="6"/>
      <c r="F87" s="8"/>
      <c r="G87" s="6"/>
      <c r="H87" s="6"/>
      <c r="I87" s="6" t="str" cm="1">
        <f t="array" ref="I87">_xlfn.SWITCH(H87,"XS",1,"S",2,"M",3,"L",5,"XL",8,"XXL",13,"XXXL",21,"")</f>
        <v/>
      </c>
      <c r="J87" s="6"/>
      <c r="K87" s="6"/>
      <c r="L87" s="6"/>
    </row>
    <row r="88" spans="1:12" x14ac:dyDescent="0.3">
      <c r="A88" s="6"/>
      <c r="B88" s="6"/>
      <c r="C88" s="6"/>
      <c r="D88" s="6"/>
      <c r="E88" s="6"/>
      <c r="F88" s="8"/>
      <c r="G88" s="6"/>
      <c r="H88" s="6"/>
      <c r="I88" s="6" t="str" cm="1">
        <f t="array" ref="I88">_xlfn.SWITCH(H88,"XS",1,"S",2,"M",3,"L",5,"XL",8,"XXL",13,"XXXL",21,"")</f>
        <v/>
      </c>
      <c r="J88" s="6"/>
      <c r="K88" s="6"/>
      <c r="L88" s="6"/>
    </row>
    <row r="89" spans="1:12" x14ac:dyDescent="0.3">
      <c r="A89" s="6"/>
      <c r="B89" s="6"/>
      <c r="C89" s="6"/>
      <c r="D89" s="6"/>
      <c r="E89" s="6"/>
      <c r="F89" s="8"/>
      <c r="G89" s="6"/>
      <c r="H89" s="6"/>
      <c r="I89" s="6" t="str" cm="1">
        <f t="array" ref="I89">_xlfn.SWITCH(H89,"XS",1,"S",2,"M",3,"L",5,"XL",8,"XXL",13,"XXXL",21,"")</f>
        <v/>
      </c>
      <c r="J89" s="6"/>
      <c r="K89" s="6"/>
      <c r="L89" s="6"/>
    </row>
    <row r="90" spans="1:12" x14ac:dyDescent="0.3">
      <c r="A90" s="6"/>
      <c r="B90" s="6"/>
      <c r="C90" s="6"/>
      <c r="D90" s="6"/>
      <c r="E90" s="6"/>
      <c r="F90" s="8"/>
      <c r="G90" s="6"/>
      <c r="H90" s="6"/>
      <c r="I90" s="6" t="str" cm="1">
        <f t="array" ref="I90">_xlfn.SWITCH(H90,"XS",1,"S",2,"M",3,"L",5,"XL",8,"XXL",13,"XXXL",21,"")</f>
        <v/>
      </c>
      <c r="J90" s="6"/>
      <c r="K90" s="6"/>
      <c r="L90" s="6"/>
    </row>
    <row r="91" spans="1:12" x14ac:dyDescent="0.3">
      <c r="A91" s="6"/>
      <c r="B91" s="6"/>
      <c r="C91" s="6"/>
      <c r="D91" s="6"/>
      <c r="E91" s="6"/>
      <c r="F91" s="8"/>
      <c r="G91" s="6"/>
      <c r="H91" s="6"/>
      <c r="I91" s="6" t="str" cm="1">
        <f t="array" ref="I91">_xlfn.SWITCH(H91,"XS",1,"S",2,"M",3,"L",5,"XL",8,"XXL",13,"XXXL",21,"")</f>
        <v/>
      </c>
      <c r="J91" s="6"/>
      <c r="K91" s="6"/>
      <c r="L91" s="6"/>
    </row>
    <row r="92" spans="1:12" x14ac:dyDescent="0.3">
      <c r="A92" s="6"/>
      <c r="B92" s="6"/>
      <c r="C92" s="6"/>
      <c r="D92" s="6"/>
      <c r="E92" s="6"/>
      <c r="F92" s="8"/>
      <c r="G92" s="6"/>
      <c r="H92" s="6"/>
      <c r="I92" s="6" t="str" cm="1">
        <f t="array" ref="I92">_xlfn.SWITCH(H92,"XS",1,"S",2,"M",3,"L",5,"XL",8,"XXL",13,"XXXL",21,"")</f>
        <v/>
      </c>
      <c r="J92" s="6"/>
      <c r="K92" s="6"/>
      <c r="L92" s="6"/>
    </row>
    <row r="93" spans="1:12" x14ac:dyDescent="0.3">
      <c r="A93" s="6"/>
      <c r="B93" s="6"/>
      <c r="C93" s="6"/>
      <c r="D93" s="6"/>
      <c r="E93" s="6"/>
      <c r="F93" s="8"/>
      <c r="G93" s="6"/>
      <c r="H93" s="6"/>
      <c r="I93" s="6" t="str" cm="1">
        <f t="array" ref="I93">_xlfn.SWITCH(H93,"XS",1,"S",2,"M",3,"L",5,"XL",8,"XXL",13,"XXXL",21,"")</f>
        <v/>
      </c>
      <c r="J93" s="6"/>
      <c r="K93" s="6"/>
      <c r="L93" s="6"/>
    </row>
    <row r="94" spans="1:12" x14ac:dyDescent="0.3">
      <c r="A94" s="6"/>
      <c r="B94" s="6"/>
      <c r="C94" s="6"/>
      <c r="D94" s="6"/>
      <c r="E94" s="6"/>
      <c r="F94" s="8"/>
      <c r="G94" s="6"/>
      <c r="H94" s="6"/>
      <c r="I94" s="6" t="str" cm="1">
        <f t="array" ref="I94">_xlfn.SWITCH(H94,"XS",1,"S",2,"M",3,"L",5,"XL",8,"XXL",13,"XXXL",21,"")</f>
        <v/>
      </c>
      <c r="J94" s="6"/>
      <c r="K94" s="6"/>
      <c r="L94" s="6"/>
    </row>
    <row r="95" spans="1:12" x14ac:dyDescent="0.3">
      <c r="A95" s="6"/>
      <c r="B95" s="6"/>
      <c r="C95" s="6"/>
      <c r="D95" s="6"/>
      <c r="E95" s="6"/>
      <c r="F95" s="8"/>
      <c r="G95" s="6"/>
      <c r="H95" s="6"/>
      <c r="I95" s="6" t="str" cm="1">
        <f t="array" ref="I95">_xlfn.SWITCH(H95,"XS",1,"S",2,"M",3,"L",5,"XL",8,"XXL",13,"XXXL",21,"")</f>
        <v/>
      </c>
      <c r="J95" s="6"/>
      <c r="K95" s="6"/>
      <c r="L95" s="6"/>
    </row>
    <row r="96" spans="1:12" x14ac:dyDescent="0.3">
      <c r="A96" s="6"/>
      <c r="B96" s="6"/>
      <c r="C96" s="6"/>
      <c r="D96" s="6"/>
      <c r="E96" s="6"/>
      <c r="F96" s="8"/>
      <c r="G96" s="6"/>
      <c r="H96" s="6"/>
      <c r="I96" s="6" t="str" cm="1">
        <f t="array" ref="I96">_xlfn.SWITCH(H96,"XS",1,"S",2,"M",3,"L",5,"XL",8,"XXL",13,"XXXL",21,"")</f>
        <v/>
      </c>
      <c r="J96" s="6"/>
      <c r="K96" s="6"/>
      <c r="L96" s="6"/>
    </row>
    <row r="97" spans="1:12" x14ac:dyDescent="0.3">
      <c r="A97" s="6"/>
      <c r="B97" s="6"/>
      <c r="C97" s="6"/>
      <c r="D97" s="6"/>
      <c r="E97" s="6"/>
      <c r="F97" s="8"/>
      <c r="G97" s="6"/>
      <c r="H97" s="6"/>
      <c r="I97" s="6" t="str" cm="1">
        <f t="array" ref="I97">_xlfn.SWITCH(H97,"XS",1,"S",2,"M",3,"L",5,"XL",8,"XXL",13,"XXXL",21,"")</f>
        <v/>
      </c>
      <c r="J97" s="6"/>
      <c r="K97" s="6"/>
      <c r="L97" s="6"/>
    </row>
    <row r="98" spans="1:12" x14ac:dyDescent="0.3">
      <c r="A98" s="6"/>
      <c r="B98" s="6"/>
      <c r="C98" s="6"/>
      <c r="D98" s="6"/>
      <c r="E98" s="6"/>
      <c r="F98" s="8"/>
      <c r="G98" s="6"/>
      <c r="H98" s="6"/>
      <c r="I98" s="6" t="str" cm="1">
        <f t="array" ref="I98">_xlfn.SWITCH(H98,"XS",1,"S",2,"M",3,"L",5,"XL",8,"XXL",13,"XXXL",21,"")</f>
        <v/>
      </c>
      <c r="J98" s="6"/>
      <c r="K98" s="6"/>
      <c r="L98" s="6"/>
    </row>
    <row r="99" spans="1:12" x14ac:dyDescent="0.3">
      <c r="A99" s="6"/>
      <c r="B99" s="6"/>
      <c r="C99" s="6"/>
      <c r="D99" s="6"/>
      <c r="E99" s="6"/>
      <c r="F99" s="8"/>
      <c r="G99" s="6"/>
      <c r="H99" s="6"/>
      <c r="I99" s="6" t="str" cm="1">
        <f t="array" ref="I99">_xlfn.SWITCH(H99,"XS",1,"S",2,"M",3,"L",5,"XL",8,"XXL",13,"XXXL",21,"")</f>
        <v/>
      </c>
      <c r="J99" s="6"/>
      <c r="K99" s="6"/>
      <c r="L99" s="6"/>
    </row>
    <row r="100" spans="1:12" x14ac:dyDescent="0.3">
      <c r="A100" s="6"/>
      <c r="B100" s="6"/>
      <c r="C100" s="6"/>
      <c r="D100" s="6"/>
      <c r="E100" s="6"/>
      <c r="F100" s="8"/>
      <c r="G100" s="6"/>
      <c r="H100" s="6"/>
      <c r="I100" s="6" t="str" cm="1">
        <f t="array" ref="I100">_xlfn.SWITCH(H100,"XS",1,"S",2,"M",3,"L",5,"XL",8,"XXL",13,"XXXL",21,"")</f>
        <v/>
      </c>
      <c r="J100" s="6"/>
      <c r="K100" s="6"/>
      <c r="L100" s="6"/>
    </row>
    <row r="101" spans="1:12" x14ac:dyDescent="0.3">
      <c r="A101" s="6"/>
      <c r="B101" s="6"/>
      <c r="C101" s="6"/>
      <c r="D101" s="6"/>
      <c r="E101" s="6"/>
      <c r="F101" s="8"/>
      <c r="G101" s="6"/>
      <c r="H101" s="6"/>
      <c r="I101" s="6" t="str" cm="1">
        <f t="array" ref="I101">_xlfn.SWITCH(H101,"XS",1,"S",2,"M",3,"L",5,"XL",8,"XXL",13,"XXXL",21,"")</f>
        <v/>
      </c>
      <c r="J101" s="6"/>
      <c r="K101" s="6"/>
      <c r="L101" s="6"/>
    </row>
    <row r="102" spans="1:12" x14ac:dyDescent="0.3">
      <c r="A102" s="6"/>
      <c r="B102" s="6"/>
      <c r="C102" s="6"/>
      <c r="D102" s="6"/>
      <c r="E102" s="6"/>
      <c r="F102" s="8"/>
      <c r="G102" s="6"/>
      <c r="H102" s="6"/>
      <c r="I102" s="6" t="str" cm="1">
        <f t="array" ref="I102">_xlfn.SWITCH(H102,"XS",1,"S",2,"M",3,"L",5,"XL",8,"XXL",13,"XXXL",21,"")</f>
        <v/>
      </c>
      <c r="J102" s="6"/>
      <c r="K102" s="6"/>
      <c r="L102" s="6"/>
    </row>
    <row r="103" spans="1:12" x14ac:dyDescent="0.3">
      <c r="A103" s="6"/>
      <c r="B103" s="6"/>
      <c r="C103" s="6"/>
      <c r="D103" s="6"/>
      <c r="E103" s="6"/>
      <c r="F103" s="8"/>
      <c r="G103" s="6"/>
      <c r="H103" s="6"/>
      <c r="I103" s="6" t="str" cm="1">
        <f t="array" ref="I103">_xlfn.SWITCH(H103,"XS",1,"S",2,"M",3,"L",5,"XL",8,"XXL",13,"XXXL",21,"")</f>
        <v/>
      </c>
      <c r="J103" s="6"/>
      <c r="K103" s="6"/>
      <c r="L103" s="6"/>
    </row>
    <row r="104" spans="1:12" x14ac:dyDescent="0.3">
      <c r="A104" s="6"/>
      <c r="B104" s="6"/>
      <c r="C104" s="6"/>
      <c r="D104" s="6"/>
      <c r="E104" s="6"/>
      <c r="F104" s="8"/>
      <c r="G104" s="6"/>
      <c r="H104" s="6"/>
      <c r="I104" s="6" t="str" cm="1">
        <f t="array" ref="I104">_xlfn.SWITCH(H104,"XS",1,"S",2,"M",3,"L",5,"XL",8,"XXL",13,"XXXL",21,"")</f>
        <v/>
      </c>
      <c r="J104" s="6"/>
      <c r="K104" s="6"/>
      <c r="L104" s="6"/>
    </row>
    <row r="105" spans="1:12" x14ac:dyDescent="0.3">
      <c r="A105" s="6"/>
      <c r="B105" s="6"/>
      <c r="C105" s="6"/>
      <c r="D105" s="6"/>
      <c r="E105" s="6"/>
      <c r="F105" s="8"/>
      <c r="G105" s="6"/>
      <c r="H105" s="6"/>
      <c r="I105" s="6" t="str" cm="1">
        <f t="array" ref="I105">_xlfn.SWITCH(H105,"XS",1,"S",2,"M",3,"L",5,"XL",8,"XXL",13,"XXXL",21,"")</f>
        <v/>
      </c>
      <c r="J105" s="6"/>
      <c r="K105" s="6"/>
      <c r="L105" s="6"/>
    </row>
    <row r="106" spans="1:12" x14ac:dyDescent="0.3">
      <c r="A106" s="6"/>
      <c r="B106" s="6"/>
      <c r="C106" s="6"/>
      <c r="D106" s="6"/>
      <c r="E106" s="6"/>
      <c r="F106" s="8"/>
      <c r="G106" s="6"/>
      <c r="H106" s="6"/>
      <c r="I106" s="6" t="str" cm="1">
        <f t="array" ref="I106">_xlfn.SWITCH(H106,"XS",1,"S",2,"M",3,"L",5,"XL",8,"XXL",13,"XXXL",21,"")</f>
        <v/>
      </c>
      <c r="J106" s="6"/>
      <c r="K106" s="6"/>
      <c r="L106" s="6"/>
    </row>
    <row r="107" spans="1:12" x14ac:dyDescent="0.3">
      <c r="A107" s="6"/>
      <c r="B107" s="6"/>
      <c r="C107" s="6"/>
      <c r="D107" s="6"/>
      <c r="E107" s="6"/>
      <c r="F107" s="8"/>
      <c r="G107" s="6"/>
      <c r="H107" s="6"/>
      <c r="I107" s="6" t="str" cm="1">
        <f t="array" ref="I107">_xlfn.SWITCH(H107,"XS",1,"S",2,"M",3,"L",5,"XL",8,"XXL",13,"XXXL",21,"")</f>
        <v/>
      </c>
      <c r="J107" s="6"/>
      <c r="K107" s="6"/>
      <c r="L107" s="6"/>
    </row>
    <row r="108" spans="1:12" x14ac:dyDescent="0.3">
      <c r="A108" s="6"/>
      <c r="B108" s="6"/>
      <c r="C108" s="6"/>
      <c r="D108" s="6"/>
      <c r="E108" s="6"/>
      <c r="F108" s="8"/>
      <c r="G108" s="6"/>
      <c r="H108" s="6"/>
      <c r="I108" s="6" t="str" cm="1">
        <f t="array" ref="I108">_xlfn.SWITCH(H108,"XS",1,"S",2,"M",3,"L",5,"XL",8,"XXL",13,"XXXL",21,"")</f>
        <v/>
      </c>
      <c r="J108" s="6"/>
      <c r="K108" s="6"/>
      <c r="L108" s="6"/>
    </row>
    <row r="109" spans="1:12" x14ac:dyDescent="0.3">
      <c r="A109" s="6"/>
      <c r="B109" s="6"/>
      <c r="C109" s="6"/>
      <c r="D109" s="6"/>
      <c r="E109" s="6"/>
      <c r="F109" s="8"/>
      <c r="G109" s="6"/>
      <c r="H109" s="6"/>
      <c r="I109" s="6" t="str" cm="1">
        <f t="array" ref="I109">_xlfn.SWITCH(H109,"XS",1,"S",2,"M",3,"L",5,"XL",8,"XXL",13,"XXXL",21,"")</f>
        <v/>
      </c>
      <c r="J109" s="6"/>
      <c r="K109" s="6"/>
      <c r="L109" s="6"/>
    </row>
    <row r="110" spans="1:12" x14ac:dyDescent="0.3">
      <c r="A110" s="6"/>
      <c r="B110" s="6"/>
      <c r="C110" s="6"/>
      <c r="D110" s="6"/>
      <c r="E110" s="6"/>
      <c r="F110" s="8"/>
      <c r="G110" s="6"/>
      <c r="H110" s="6"/>
      <c r="I110" s="6" t="str" cm="1">
        <f t="array" ref="I110">_xlfn.SWITCH(H110,"XS",1,"S",2,"M",3,"L",5,"XL",8,"XXL",13,"XXXL",21,"")</f>
        <v/>
      </c>
      <c r="J110" s="6"/>
      <c r="K110" s="6"/>
      <c r="L110" s="6"/>
    </row>
    <row r="111" spans="1:12" x14ac:dyDescent="0.3">
      <c r="A111" s="6"/>
      <c r="B111" s="6"/>
      <c r="C111" s="6"/>
      <c r="D111" s="6"/>
      <c r="E111" s="6"/>
      <c r="F111" s="8"/>
      <c r="G111" s="6"/>
      <c r="H111" s="6"/>
      <c r="I111" s="6" t="str" cm="1">
        <f t="array" ref="I111">_xlfn.SWITCH(H111,"XS",1,"S",2,"M",3,"L",5,"XL",8,"XXL",13,"XXXL",21,"")</f>
        <v/>
      </c>
      <c r="J111" s="6"/>
      <c r="K111" s="6"/>
      <c r="L111" s="6"/>
    </row>
    <row r="112" spans="1:12" x14ac:dyDescent="0.3">
      <c r="A112" s="6"/>
      <c r="B112" s="6"/>
      <c r="C112" s="6"/>
      <c r="D112" s="6"/>
      <c r="E112" s="6"/>
      <c r="F112" s="8"/>
      <c r="G112" s="6"/>
      <c r="H112" s="6"/>
      <c r="I112" s="6" t="str" cm="1">
        <f t="array" ref="I112">_xlfn.SWITCH(H112,"XS",1,"S",2,"M",3,"L",5,"XL",8,"XXL",13,"XXXL",21,"")</f>
        <v/>
      </c>
      <c r="J112" s="6"/>
      <c r="K112" s="6"/>
      <c r="L112" s="6"/>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E14" sqref="E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ustomWidth="1"/>
  </cols>
  <sheetData>
    <row r="1" spans="1:12" ht="57.6" x14ac:dyDescent="0.3">
      <c r="A1" s="21" t="s">
        <v>12</v>
      </c>
      <c r="B1" s="21" t="s">
        <v>62</v>
      </c>
      <c r="C1" s="22" t="s">
        <v>13</v>
      </c>
      <c r="D1" s="22" t="s">
        <v>14</v>
      </c>
      <c r="E1" s="22" t="s">
        <v>15</v>
      </c>
    </row>
    <row r="2" spans="1:12" x14ac:dyDescent="0.3">
      <c r="A2" s="17">
        <v>0</v>
      </c>
      <c r="B2" s="18">
        <v>46237</v>
      </c>
      <c r="C2" s="19">
        <f>82-SUM(E$2:E2)</f>
        <v>82</v>
      </c>
      <c r="D2" s="20">
        <f xml:space="preserve"> 82*(1-1/8*A2)</f>
        <v>82</v>
      </c>
      <c r="E2" s="20">
        <v>0</v>
      </c>
    </row>
    <row r="3" spans="1:12" x14ac:dyDescent="0.3">
      <c r="A3" s="17">
        <v>1</v>
      </c>
      <c r="B3" s="18">
        <v>46238</v>
      </c>
      <c r="C3" s="19">
        <f>82-SUM(E$2:E3)</f>
        <v>74</v>
      </c>
      <c r="D3" s="20">
        <f t="shared" ref="D3:D10" si="0" xml:space="preserve"> 82*(1-1/8*A3)</f>
        <v>71.75</v>
      </c>
      <c r="E3" s="17">
        <v>8</v>
      </c>
    </row>
    <row r="4" spans="1:12" x14ac:dyDescent="0.3">
      <c r="A4" s="17">
        <v>2</v>
      </c>
      <c r="B4" s="18">
        <v>46239</v>
      </c>
      <c r="C4" s="19">
        <f>82-SUM(E$2:E4)</f>
        <v>66</v>
      </c>
      <c r="D4" s="20">
        <f t="shared" si="0"/>
        <v>61.5</v>
      </c>
      <c r="E4" s="17">
        <v>8</v>
      </c>
      <c r="L4" s="2"/>
    </row>
    <row r="5" spans="1:12" x14ac:dyDescent="0.3">
      <c r="A5" s="17">
        <v>3</v>
      </c>
      <c r="B5" s="18">
        <v>46240</v>
      </c>
      <c r="C5" s="19">
        <f>82-SUM(E$2:E5)</f>
        <v>66</v>
      </c>
      <c r="D5" s="20">
        <f t="shared" si="0"/>
        <v>51.25</v>
      </c>
      <c r="E5" s="17">
        <v>0</v>
      </c>
    </row>
    <row r="6" spans="1:12" x14ac:dyDescent="0.3">
      <c r="A6" s="17">
        <v>4</v>
      </c>
      <c r="B6" s="18">
        <v>46241</v>
      </c>
      <c r="C6" s="19">
        <f>82-SUM(E$2:E6)</f>
        <v>66</v>
      </c>
      <c r="D6" s="20">
        <f t="shared" si="0"/>
        <v>41</v>
      </c>
      <c r="E6" s="17">
        <v>0</v>
      </c>
    </row>
    <row r="7" spans="1:12" x14ac:dyDescent="0.3">
      <c r="A7" s="17">
        <v>5</v>
      </c>
      <c r="B7" s="18">
        <v>46244</v>
      </c>
      <c r="C7" s="19">
        <f>82-SUM(E$2:E7)</f>
        <v>62</v>
      </c>
      <c r="D7" s="20">
        <f t="shared" si="0"/>
        <v>30.75</v>
      </c>
      <c r="E7" s="17">
        <v>4</v>
      </c>
    </row>
    <row r="8" spans="1:12" x14ac:dyDescent="0.3">
      <c r="A8" s="17">
        <v>6</v>
      </c>
      <c r="B8" s="18">
        <v>46245</v>
      </c>
      <c r="C8" s="19">
        <f>82-SUM(E$2:E8)</f>
        <v>52</v>
      </c>
      <c r="D8" s="20">
        <f t="shared" si="0"/>
        <v>20.5</v>
      </c>
      <c r="E8" s="17">
        <v>10</v>
      </c>
    </row>
    <row r="9" spans="1:12" x14ac:dyDescent="0.3">
      <c r="A9" s="17">
        <v>7</v>
      </c>
      <c r="B9" s="18">
        <v>46246</v>
      </c>
      <c r="C9" s="19">
        <f>82-SUM(E$2:E9)</f>
        <v>37</v>
      </c>
      <c r="D9" s="20">
        <f t="shared" si="0"/>
        <v>10.25</v>
      </c>
      <c r="E9" s="17">
        <v>15</v>
      </c>
    </row>
    <row r="10" spans="1:12" x14ac:dyDescent="0.3">
      <c r="A10" s="17">
        <v>8</v>
      </c>
      <c r="B10" s="18">
        <v>46247</v>
      </c>
      <c r="C10" s="19">
        <f>82-SUM(E$2:E10)</f>
        <v>0</v>
      </c>
      <c r="D10" s="20">
        <f t="shared" si="0"/>
        <v>0</v>
      </c>
      <c r="E10" s="17">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14B-072D-418C-AC55-CBC1D249798C}">
  <dimension ref="A1:L110"/>
  <sheetViews>
    <sheetView workbookViewId="0">
      <selection activeCell="F3" sqref="F3"/>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172.8" x14ac:dyDescent="0.3">
      <c r="A2" s="12">
        <v>1</v>
      </c>
      <c r="B2" s="12" t="s">
        <v>94</v>
      </c>
      <c r="C2" s="12" t="s">
        <v>89</v>
      </c>
      <c r="D2" s="12"/>
      <c r="E2" s="12" t="s">
        <v>31</v>
      </c>
      <c r="F2" s="13" t="s">
        <v>100</v>
      </c>
      <c r="G2" s="12" t="s">
        <v>29</v>
      </c>
      <c r="H2" s="12" t="s">
        <v>27</v>
      </c>
      <c r="I2" s="12">
        <f t="array" ref="I2">_xlfn.SWITCH(H2,"XS",1,"S",2,"M",3,"L",5,"XL",8,"XXL",13,"XXXL",21,"")</f>
        <v>3</v>
      </c>
      <c r="J2" s="12" t="s">
        <v>76</v>
      </c>
      <c r="K2" s="12"/>
      <c r="L2" s="12"/>
    </row>
    <row r="3" spans="1:12" ht="158.4" x14ac:dyDescent="0.3">
      <c r="A3" s="12">
        <v>2</v>
      </c>
      <c r="B3" s="12" t="s">
        <v>94</v>
      </c>
      <c r="C3" s="12" t="s">
        <v>91</v>
      </c>
      <c r="D3" s="12"/>
      <c r="E3" s="12" t="s">
        <v>31</v>
      </c>
      <c r="F3" s="13" t="s">
        <v>115</v>
      </c>
      <c r="G3" s="12" t="s">
        <v>29</v>
      </c>
      <c r="H3" s="12" t="s">
        <v>27</v>
      </c>
      <c r="I3" s="12">
        <f t="array" ref="I3">_xlfn.SWITCH(H3,"XS",1,"S",2,"M",3,"L",5,"XL",8,"XXL",13,"XXXL",21,"")</f>
        <v>3</v>
      </c>
      <c r="J3" s="12" t="s">
        <v>76</v>
      </c>
      <c r="K3" s="12"/>
      <c r="L3" s="12"/>
    </row>
    <row r="4" spans="1:12" ht="403.2" x14ac:dyDescent="0.3">
      <c r="A4" s="12">
        <v>3</v>
      </c>
      <c r="B4" s="12" t="s">
        <v>94</v>
      </c>
      <c r="C4" s="12" t="s">
        <v>89</v>
      </c>
      <c r="D4" s="12"/>
      <c r="E4" s="12" t="s">
        <v>31</v>
      </c>
      <c r="F4" s="16" t="s">
        <v>105</v>
      </c>
      <c r="G4" s="12" t="s">
        <v>29</v>
      </c>
      <c r="H4" s="12" t="s">
        <v>30</v>
      </c>
      <c r="I4" s="12">
        <f t="array" ref="I4">_xlfn.SWITCH(H4,"XS",1,"S",2,"M",3,"L",5,"XL",8,"XXL",13,"XXXL",21,"")</f>
        <v>5</v>
      </c>
      <c r="J4" s="12"/>
      <c r="K4" s="12"/>
      <c r="L4" s="12"/>
    </row>
    <row r="5" spans="1:12" ht="409.6" x14ac:dyDescent="0.3">
      <c r="A5" s="12">
        <v>4</v>
      </c>
      <c r="B5" s="12" t="s">
        <v>94</v>
      </c>
      <c r="C5" s="12" t="s">
        <v>91</v>
      </c>
      <c r="D5" s="12"/>
      <c r="E5" s="12" t="s">
        <v>31</v>
      </c>
      <c r="F5" s="16" t="s">
        <v>104</v>
      </c>
      <c r="G5" s="12" t="s">
        <v>29</v>
      </c>
      <c r="H5" s="12" t="s">
        <v>30</v>
      </c>
      <c r="I5" s="12">
        <f t="array" ref="I5">_xlfn.SWITCH(H5,"XS",1,"S",2,"M",3,"L",5,"XL",8,"XXL",13,"XXXL",21,"")</f>
        <v>5</v>
      </c>
      <c r="J5" s="12"/>
      <c r="K5" s="12"/>
      <c r="L5" s="12"/>
    </row>
    <row r="6" spans="1:12" ht="187.2" x14ac:dyDescent="0.3">
      <c r="A6" s="12">
        <v>5</v>
      </c>
      <c r="B6" s="12" t="s">
        <v>94</v>
      </c>
      <c r="C6" s="12" t="s">
        <v>90</v>
      </c>
      <c r="D6" s="12"/>
      <c r="E6" s="12" t="s">
        <v>22</v>
      </c>
      <c r="F6" s="16" t="s">
        <v>101</v>
      </c>
      <c r="G6" s="12" t="s">
        <v>29</v>
      </c>
      <c r="H6" s="12" t="s">
        <v>30</v>
      </c>
      <c r="I6" s="12">
        <f t="array" ref="I6">_xlfn.SWITCH(H6,"XS",1,"S",2,"M",3,"L",5,"XL",8,"XXL",13,"XXXL",21,"")</f>
        <v>5</v>
      </c>
      <c r="J6" s="12" t="s">
        <v>76</v>
      </c>
      <c r="K6" s="12"/>
      <c r="L6" s="12"/>
    </row>
    <row r="7" spans="1:12" ht="144" x14ac:dyDescent="0.3">
      <c r="A7" s="12">
        <v>6</v>
      </c>
      <c r="B7" s="12" t="s">
        <v>94</v>
      </c>
      <c r="C7" s="12" t="s">
        <v>92</v>
      </c>
      <c r="D7" s="12"/>
      <c r="E7" s="12" t="s">
        <v>20</v>
      </c>
      <c r="F7" s="16" t="s">
        <v>93</v>
      </c>
      <c r="G7" s="12" t="s">
        <v>29</v>
      </c>
      <c r="H7" s="12" t="s">
        <v>23</v>
      </c>
      <c r="I7" s="12">
        <f t="array" ref="I7">_xlfn.SWITCH(H7,"XS",1,"S",2,"M",3,"L",5,"XL",8,"XXL",13,"XXXL",21,"")</f>
        <v>2</v>
      </c>
      <c r="J7" s="12" t="s">
        <v>76</v>
      </c>
      <c r="K7" s="12"/>
      <c r="L7" s="12"/>
    </row>
    <row r="8" spans="1:12" ht="144" x14ac:dyDescent="0.3">
      <c r="A8" s="12">
        <v>7</v>
      </c>
      <c r="B8" s="12" t="s">
        <v>94</v>
      </c>
      <c r="C8" s="12" t="s">
        <v>95</v>
      </c>
      <c r="D8" s="12"/>
      <c r="E8" s="12" t="s">
        <v>20</v>
      </c>
      <c r="F8" s="13" t="s">
        <v>102</v>
      </c>
      <c r="G8" s="12" t="s">
        <v>29</v>
      </c>
      <c r="H8" s="12" t="s">
        <v>27</v>
      </c>
      <c r="I8" s="12">
        <f t="array" ref="I8">_xlfn.SWITCH(H8,"XS",1,"S",2,"M",3,"L",5,"XL",8,"XXL",13,"XXXL",21,"")</f>
        <v>3</v>
      </c>
      <c r="J8" s="12" t="s">
        <v>76</v>
      </c>
      <c r="K8" s="12"/>
      <c r="L8" s="12"/>
    </row>
    <row r="9" spans="1:12" ht="100.8" x14ac:dyDescent="0.3">
      <c r="A9" s="12">
        <v>8</v>
      </c>
      <c r="B9" s="12" t="s">
        <v>94</v>
      </c>
      <c r="C9" s="12">
        <v>6.5</v>
      </c>
      <c r="D9" s="12"/>
      <c r="E9" s="12" t="s">
        <v>20</v>
      </c>
      <c r="F9" s="16" t="s">
        <v>96</v>
      </c>
      <c r="G9" s="12" t="s">
        <v>29</v>
      </c>
      <c r="H9" s="12" t="s">
        <v>23</v>
      </c>
      <c r="I9" s="12">
        <f t="array" ref="I9">_xlfn.SWITCH(H9,"XS",1,"S",2,"M",3,"L",5,"XL",8,"XXL",13,"XXXL",21,"")</f>
        <v>2</v>
      </c>
      <c r="J9" s="12" t="s">
        <v>76</v>
      </c>
      <c r="K9" s="12"/>
      <c r="L9" s="12"/>
    </row>
    <row r="10" spans="1:12" ht="115.2" x14ac:dyDescent="0.3">
      <c r="A10" s="12">
        <v>9</v>
      </c>
      <c r="B10" s="12" t="s">
        <v>94</v>
      </c>
      <c r="C10" s="12" t="s">
        <v>97</v>
      </c>
      <c r="D10" s="12"/>
      <c r="E10" s="12" t="s">
        <v>20</v>
      </c>
      <c r="F10" s="13" t="s">
        <v>103</v>
      </c>
      <c r="G10" s="12" t="s">
        <v>29</v>
      </c>
      <c r="H10" s="12" t="s">
        <v>27</v>
      </c>
      <c r="I10" s="12">
        <f t="array" ref="I10">_xlfn.SWITCH(H10,"XS",1,"S",2,"M",3,"L",5,"XL",8,"XXL",13,"XXXL",21,"")</f>
        <v>3</v>
      </c>
      <c r="J10" s="12" t="s">
        <v>76</v>
      </c>
      <c r="K10" s="12"/>
      <c r="L10" s="12"/>
    </row>
    <row r="11" spans="1:12" ht="230.4" x14ac:dyDescent="0.3">
      <c r="A11" s="14">
        <v>10</v>
      </c>
      <c r="B11" s="14" t="s">
        <v>77</v>
      </c>
      <c r="C11" s="14">
        <v>19.3</v>
      </c>
      <c r="D11" s="14" t="s">
        <v>78</v>
      </c>
      <c r="E11" s="14" t="s">
        <v>20</v>
      </c>
      <c r="F11" s="15" t="s">
        <v>116</v>
      </c>
      <c r="G11" s="14" t="s">
        <v>24</v>
      </c>
      <c r="H11" s="14" t="s">
        <v>27</v>
      </c>
      <c r="I11" s="14">
        <f t="array" ref="I11">_xlfn.SWITCH(H11,"XS",1,"S",2,"M",3,"L",5,"XL",8,"XXL",13,"XXXL",21,"")</f>
        <v>3</v>
      </c>
      <c r="J11" s="14" t="s">
        <v>76</v>
      </c>
      <c r="K11" s="14"/>
      <c r="L11" s="14"/>
    </row>
    <row r="12" spans="1:12" ht="288" x14ac:dyDescent="0.3">
      <c r="A12" s="14">
        <v>11</v>
      </c>
      <c r="B12" s="14" t="s">
        <v>77</v>
      </c>
      <c r="C12" s="14">
        <v>19.3</v>
      </c>
      <c r="D12" s="14" t="s">
        <v>79</v>
      </c>
      <c r="E12" s="14" t="s">
        <v>20</v>
      </c>
      <c r="F12" s="15" t="s">
        <v>117</v>
      </c>
      <c r="G12" s="14" t="s">
        <v>24</v>
      </c>
      <c r="H12" s="14" t="s">
        <v>30</v>
      </c>
      <c r="I12" s="14">
        <f t="array" ref="I12">_xlfn.SWITCH(H12,"XS",1,"S",2,"M",3,"L",5,"XL",8,"XXL",13,"XXXL",21,"")</f>
        <v>5</v>
      </c>
      <c r="J12" s="14" t="s">
        <v>76</v>
      </c>
      <c r="K12" s="14"/>
      <c r="L12" s="14"/>
    </row>
    <row r="13" spans="1:12" ht="316.8" x14ac:dyDescent="0.3">
      <c r="A13" s="14">
        <v>12</v>
      </c>
      <c r="B13" s="14" t="s">
        <v>80</v>
      </c>
      <c r="C13" s="14">
        <v>20.3</v>
      </c>
      <c r="D13" s="14" t="s">
        <v>81</v>
      </c>
      <c r="E13" s="14" t="s">
        <v>20</v>
      </c>
      <c r="F13" s="15" t="s">
        <v>118</v>
      </c>
      <c r="G13" s="14" t="s">
        <v>24</v>
      </c>
      <c r="H13" s="14" t="s">
        <v>30</v>
      </c>
      <c r="I13" s="14">
        <f t="array" ref="I13">_xlfn.SWITCH(H13,"XS",1,"S",2,"M",3,"L",5,"XL",8,"XXL",13,"XXXL",21,"")</f>
        <v>5</v>
      </c>
      <c r="J13" s="14" t="s">
        <v>76</v>
      </c>
      <c r="K13" s="14"/>
      <c r="L13" s="14"/>
    </row>
    <row r="14" spans="1:12" ht="187.2" x14ac:dyDescent="0.3">
      <c r="A14" s="14">
        <v>13</v>
      </c>
      <c r="B14" s="14" t="s">
        <v>80</v>
      </c>
      <c r="C14" s="14">
        <v>20.3</v>
      </c>
      <c r="D14" s="14" t="s">
        <v>82</v>
      </c>
      <c r="E14" s="14" t="s">
        <v>20</v>
      </c>
      <c r="F14" s="15" t="s">
        <v>119</v>
      </c>
      <c r="G14" s="14" t="s">
        <v>24</v>
      </c>
      <c r="H14" s="14" t="s">
        <v>27</v>
      </c>
      <c r="I14" s="14">
        <f t="array" ref="I14">_xlfn.SWITCH(H14,"XS",1,"S",2,"M",3,"L",5,"XL",8,"XXL",13,"XXXL",21,"")</f>
        <v>3</v>
      </c>
      <c r="J14" s="14" t="s">
        <v>76</v>
      </c>
      <c r="K14" s="14"/>
      <c r="L14" s="14"/>
    </row>
    <row r="15" spans="1:12" ht="244.8" x14ac:dyDescent="0.3">
      <c r="A15" s="6">
        <v>14</v>
      </c>
      <c r="B15" s="6" t="s">
        <v>77</v>
      </c>
      <c r="C15" s="6">
        <v>19.3</v>
      </c>
      <c r="D15" s="6" t="s">
        <v>83</v>
      </c>
      <c r="E15" s="6" t="s">
        <v>31</v>
      </c>
      <c r="F15" s="8" t="s">
        <v>113</v>
      </c>
      <c r="G15" s="6" t="s">
        <v>29</v>
      </c>
      <c r="H15" s="6" t="s">
        <v>30</v>
      </c>
      <c r="I15" s="6">
        <f t="array" ref="I15">_xlfn.SWITCH(H15,"XS",1,"S",2,"M",3,"L",5,"XL",8,"XXL",13,"XXXL",21,"")</f>
        <v>5</v>
      </c>
      <c r="J15" s="6"/>
      <c r="K15" s="6"/>
      <c r="L15" s="6"/>
    </row>
    <row r="16" spans="1:12" ht="230.4" x14ac:dyDescent="0.3">
      <c r="A16" s="6">
        <v>15</v>
      </c>
      <c r="B16" s="6" t="s">
        <v>80</v>
      </c>
      <c r="C16" s="6">
        <v>20.3</v>
      </c>
      <c r="D16" s="6" t="s">
        <v>84</v>
      </c>
      <c r="E16" s="6" t="s">
        <v>31</v>
      </c>
      <c r="F16" s="8" t="s">
        <v>112</v>
      </c>
      <c r="G16" s="6" t="s">
        <v>29</v>
      </c>
      <c r="H16" s="6" t="s">
        <v>30</v>
      </c>
      <c r="I16" s="6">
        <f t="array" ref="I16">_xlfn.SWITCH(H16,"XS",1,"S",2,"M",3,"L",5,"XL",8,"XXL",13,"XXXL",21,"")</f>
        <v>5</v>
      </c>
      <c r="J16" s="6"/>
      <c r="K16" s="6"/>
      <c r="L16" s="6"/>
    </row>
    <row r="17" spans="1:12" ht="244.8" x14ac:dyDescent="0.3">
      <c r="A17" s="6">
        <v>16</v>
      </c>
      <c r="B17" s="6" t="s">
        <v>80</v>
      </c>
      <c r="C17" s="6">
        <v>20.399999999999999</v>
      </c>
      <c r="D17" s="6" t="s">
        <v>85</v>
      </c>
      <c r="E17" s="6" t="s">
        <v>31</v>
      </c>
      <c r="F17" s="8" t="s">
        <v>114</v>
      </c>
      <c r="G17" s="6" t="s">
        <v>29</v>
      </c>
      <c r="H17" s="6" t="s">
        <v>30</v>
      </c>
      <c r="I17" s="6">
        <f t="array" ref="I17">_xlfn.SWITCH(H17,"XS",1,"S",2,"M",3,"L",5,"XL",8,"XXL",13,"XXXL",21,"")</f>
        <v>5</v>
      </c>
      <c r="J17" s="6"/>
      <c r="K17" s="6"/>
      <c r="L17" s="6"/>
    </row>
    <row r="18" spans="1:12" ht="316.8" x14ac:dyDescent="0.3">
      <c r="A18" s="6">
        <v>17</v>
      </c>
      <c r="B18" s="6" t="s">
        <v>86</v>
      </c>
      <c r="C18" s="6" t="s">
        <v>98</v>
      </c>
      <c r="D18" s="6" t="s">
        <v>87</v>
      </c>
      <c r="E18" s="6" t="s">
        <v>31</v>
      </c>
      <c r="F18" s="8" t="s">
        <v>110</v>
      </c>
      <c r="G18" s="6" t="s">
        <v>29</v>
      </c>
      <c r="H18" s="6" t="s">
        <v>30</v>
      </c>
      <c r="I18" s="6">
        <f t="array" ref="I18">_xlfn.SWITCH(H18,"XS",1,"S",2,"M",3,"L",5,"XL",8,"XXL",13,"XXXL",21,"")</f>
        <v>5</v>
      </c>
      <c r="J18" s="6"/>
      <c r="K18" s="6"/>
      <c r="L18" s="6"/>
    </row>
    <row r="19" spans="1:12" ht="345.6" x14ac:dyDescent="0.3">
      <c r="A19" s="6">
        <v>18</v>
      </c>
      <c r="B19" s="6" t="s">
        <v>86</v>
      </c>
      <c r="C19" s="6" t="s">
        <v>99</v>
      </c>
      <c r="D19" s="6" t="s">
        <v>88</v>
      </c>
      <c r="E19" s="6" t="s">
        <v>31</v>
      </c>
      <c r="F19" s="8" t="s">
        <v>111</v>
      </c>
      <c r="G19" s="6" t="s">
        <v>29</v>
      </c>
      <c r="H19" s="6" t="s">
        <v>30</v>
      </c>
      <c r="I19" s="6">
        <f t="array" ref="I19">_xlfn.SWITCH(H19,"XS",1,"S",2,"M",3,"L",5,"XL",8,"XXL",13,"XXXL",21,"")</f>
        <v>5</v>
      </c>
      <c r="J19" s="6"/>
      <c r="K19" s="6"/>
      <c r="L19" s="6"/>
    </row>
    <row r="20" spans="1:12" ht="409.6" x14ac:dyDescent="0.3">
      <c r="A20" s="6">
        <v>19</v>
      </c>
      <c r="B20" s="6" t="s">
        <v>86</v>
      </c>
      <c r="C20" s="6" t="s">
        <v>106</v>
      </c>
      <c r="D20" s="6"/>
      <c r="E20" s="6" t="s">
        <v>31</v>
      </c>
      <c r="F20" s="8" t="s">
        <v>108</v>
      </c>
      <c r="G20" s="6" t="s">
        <v>24</v>
      </c>
      <c r="H20" s="6" t="s">
        <v>23</v>
      </c>
      <c r="I20" s="6">
        <f t="array" ref="I20">_xlfn.SWITCH(H20,"XS",1,"S",2,"M",3,"L",5,"XL",8,"XXL",13,"XXXL",21,"")</f>
        <v>2</v>
      </c>
      <c r="J20" s="6"/>
      <c r="K20" s="6"/>
      <c r="L20" s="6"/>
    </row>
    <row r="21" spans="1:12" ht="409.6" x14ac:dyDescent="0.3">
      <c r="A21" s="6">
        <v>20</v>
      </c>
      <c r="B21" s="6" t="s">
        <v>86</v>
      </c>
      <c r="C21" s="6" t="s">
        <v>107</v>
      </c>
      <c r="D21" s="6"/>
      <c r="E21" s="6" t="s">
        <v>31</v>
      </c>
      <c r="F21" s="8" t="s">
        <v>109</v>
      </c>
      <c r="G21" s="6" t="s">
        <v>24</v>
      </c>
      <c r="H21" s="6" t="s">
        <v>19</v>
      </c>
      <c r="I21" s="6">
        <f t="array" ref="I21">_xlfn.SWITCH(H21,"XS",1,"S",2,"M",3,"L",5,"XL",8,"XXL",13,"XXXL",21,"")</f>
        <v>1</v>
      </c>
      <c r="J21" s="6"/>
      <c r="K21" s="6"/>
      <c r="L21" s="6"/>
    </row>
    <row r="22" spans="1:12" x14ac:dyDescent="0.3">
      <c r="A22" s="6"/>
      <c r="B22" s="6"/>
      <c r="C22" s="6"/>
      <c r="D22" s="6"/>
      <c r="E22" s="6"/>
      <c r="F22" s="8"/>
      <c r="G22" s="6"/>
      <c r="H22" s="6"/>
      <c r="I22" s="6"/>
      <c r="J22" s="6"/>
      <c r="K22" s="6"/>
      <c r="L22" s="6"/>
    </row>
    <row r="23" spans="1:12" x14ac:dyDescent="0.3">
      <c r="A23" s="6"/>
      <c r="B23" s="6"/>
      <c r="C23" s="6"/>
      <c r="D23" s="6"/>
      <c r="E23" s="6"/>
      <c r="F23" s="8"/>
      <c r="G23" s="6"/>
      <c r="H23" s="6"/>
      <c r="I23" s="6"/>
      <c r="J23" s="6"/>
      <c r="K23" s="6"/>
      <c r="L23" s="6"/>
    </row>
    <row r="24" spans="1:12" x14ac:dyDescent="0.3">
      <c r="A24" s="6"/>
      <c r="B24" s="6"/>
      <c r="C24" s="6"/>
      <c r="D24" s="6"/>
      <c r="E24" s="6"/>
      <c r="F24" s="8"/>
      <c r="G24" s="6"/>
      <c r="H24" s="6"/>
      <c r="I24" s="6" t="str">
        <f t="array" ref="I24">_xlfn.SWITCH(H24,"XS",1,"S",2,"M",3,"L",5,"XL",8,"XXL",13,"XXXL",21,"")</f>
        <v/>
      </c>
      <c r="J24" s="6"/>
      <c r="K24" s="6"/>
      <c r="L24" s="6"/>
    </row>
    <row r="25" spans="1:12" x14ac:dyDescent="0.3">
      <c r="A25" s="6"/>
      <c r="B25" s="6"/>
      <c r="C25" s="6"/>
      <c r="D25" s="6"/>
      <c r="E25" s="6"/>
      <c r="F25" s="8"/>
      <c r="G25" s="6"/>
      <c r="H25" s="6"/>
      <c r="I25" s="6" t="str">
        <f t="array" ref="I25">_xlfn.SWITCH(H25,"XS",1,"S",2,"M",3,"L",5,"XL",8,"XXL",13,"XXXL",21,"")</f>
        <v/>
      </c>
      <c r="J25" s="6"/>
      <c r="K25" s="6"/>
      <c r="L25" s="6"/>
    </row>
    <row r="26" spans="1:12" x14ac:dyDescent="0.3">
      <c r="A26" s="6"/>
      <c r="B26" s="6"/>
      <c r="C26" s="6"/>
      <c r="D26" s="6"/>
      <c r="E26" s="6"/>
      <c r="F26" s="8"/>
      <c r="G26" s="6"/>
      <c r="H26" s="6"/>
      <c r="I26" s="6" t="str">
        <f t="array" ref="I26">_xlfn.SWITCH(H26,"XS",1,"S",2,"M",3,"L",5,"XL",8,"XXL",13,"XXXL",21,"")</f>
        <v/>
      </c>
      <c r="J26" s="6"/>
      <c r="K26" s="6"/>
      <c r="L26" s="6"/>
    </row>
    <row r="27" spans="1:12" x14ac:dyDescent="0.3">
      <c r="A27" s="6"/>
      <c r="B27" s="6"/>
      <c r="C27" s="6"/>
      <c r="D27" s="6"/>
      <c r="E27" s="6"/>
      <c r="F27" s="8"/>
      <c r="G27" s="6"/>
      <c r="H27" s="6"/>
      <c r="I27" s="6" t="str">
        <f t="array" ref="I27">_xlfn.SWITCH(H27,"XS",1,"S",2,"M",3,"L",5,"XL",8,"XXL",13,"XXXL",21,"")</f>
        <v/>
      </c>
      <c r="J27" s="6"/>
      <c r="K27" s="6"/>
      <c r="L27" s="6"/>
    </row>
    <row r="28" spans="1:12" x14ac:dyDescent="0.3">
      <c r="A28" s="6"/>
      <c r="B28" s="6"/>
      <c r="C28" s="6"/>
      <c r="D28" s="6"/>
      <c r="E28" s="6"/>
      <c r="F28" s="8"/>
      <c r="G28" s="6"/>
      <c r="H28" s="6"/>
      <c r="I28" s="6" t="str">
        <f t="array" ref="I28">_xlfn.SWITCH(H28,"XS",1,"S",2,"M",3,"L",5,"XL",8,"XXL",13,"XXXL",21,"")</f>
        <v/>
      </c>
      <c r="J28" s="6"/>
      <c r="K28" s="6"/>
      <c r="L28" s="6"/>
    </row>
    <row r="29" spans="1:12" x14ac:dyDescent="0.3">
      <c r="A29" s="6"/>
      <c r="B29" s="6"/>
      <c r="C29" s="6"/>
      <c r="D29" s="6"/>
      <c r="E29" s="6"/>
      <c r="F29" s="8"/>
      <c r="G29" s="6"/>
      <c r="H29" s="6"/>
      <c r="I29" s="6" t="str">
        <f t="array" ref="I29">_xlfn.SWITCH(H29,"XS",1,"S",2,"M",3,"L",5,"XL",8,"XXL",13,"XXXL",21,"")</f>
        <v/>
      </c>
      <c r="J29" s="6"/>
      <c r="K29" s="6"/>
      <c r="L29" s="6"/>
    </row>
    <row r="30" spans="1:12" x14ac:dyDescent="0.3">
      <c r="A30" s="6"/>
      <c r="B30" s="6"/>
      <c r="C30" s="6"/>
      <c r="D30" s="6"/>
      <c r="E30" s="6"/>
      <c r="F30" s="8"/>
      <c r="G30" s="6"/>
      <c r="H30" s="6"/>
      <c r="I30" s="6" t="str">
        <f t="array" ref="I30">_xlfn.SWITCH(H30,"XS",1,"S",2,"M",3,"L",5,"XL",8,"XXL",13,"XXXL",21,"")</f>
        <v/>
      </c>
      <c r="J30" s="6"/>
      <c r="K30" s="6"/>
      <c r="L30" s="6"/>
    </row>
    <row r="31" spans="1:12" x14ac:dyDescent="0.3">
      <c r="A31" s="6"/>
      <c r="B31" s="6"/>
      <c r="C31" s="6"/>
      <c r="D31" s="6"/>
      <c r="E31" s="6"/>
      <c r="F31" s="5"/>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7"/>
      <c r="G42" s="6"/>
      <c r="H42" s="6"/>
      <c r="I42" s="6" t="str">
        <f t="array" ref="I42">_xlfn.SWITCH(H42,"XS",1,"S",2,"M",3,"L",5,"XL",8,"XXL",13,"XXXL",21,"")</f>
        <v/>
      </c>
      <c r="J42" s="6"/>
      <c r="K42" s="6"/>
      <c r="L42" s="6"/>
    </row>
    <row r="43" spans="1:12" x14ac:dyDescent="0.3">
      <c r="A43" s="6"/>
      <c r="B43" s="6"/>
      <c r="C43" s="6"/>
      <c r="D43" s="6"/>
      <c r="E43" s="6"/>
      <c r="F43" s="7"/>
      <c r="G43" s="6"/>
      <c r="H43" s="6"/>
      <c r="I43" s="6" t="str">
        <f t="array" ref="I43">_xlfn.SWITCH(H43,"XS",1,"S",2,"M",3,"L",5,"XL",8,"XXL",13,"XXXL",21,"")</f>
        <v/>
      </c>
      <c r="J43" s="6"/>
      <c r="K43" s="6"/>
      <c r="L43" s="6"/>
    </row>
    <row r="44" spans="1:12" x14ac:dyDescent="0.3">
      <c r="A44" s="6"/>
      <c r="B44" s="6"/>
      <c r="C44" s="6"/>
      <c r="D44" s="6"/>
      <c r="E44" s="6"/>
      <c r="F44" s="7"/>
      <c r="G44" s="6"/>
      <c r="H44" s="6"/>
      <c r="I44" s="6" t="str">
        <f t="array" ref="I44">_xlfn.SWITCH(H44,"XS",1,"S",2,"M",3,"L",5,"XL",8,"XXL",13,"XXXL",21,"")</f>
        <v/>
      </c>
      <c r="J44" s="6"/>
      <c r="K44" s="6"/>
      <c r="L44" s="6"/>
    </row>
    <row r="45" spans="1:12" x14ac:dyDescent="0.3">
      <c r="A45" s="6"/>
      <c r="B45" s="6"/>
      <c r="C45" s="6"/>
      <c r="D45" s="6"/>
      <c r="E45" s="6"/>
      <c r="F45" s="7"/>
      <c r="G45" s="6"/>
      <c r="H45" s="6"/>
      <c r="I45" s="6" t="str">
        <f t="array" ref="I45">_xlfn.SWITCH(H45,"XS",1,"S",2,"M",3,"L",5,"XL",8,"XXL",13,"XXXL",21,"")</f>
        <v/>
      </c>
      <c r="J45" s="6"/>
      <c r="K45" s="6"/>
      <c r="L45" s="6"/>
    </row>
    <row r="46" spans="1:12" x14ac:dyDescent="0.3">
      <c r="A46" s="6"/>
      <c r="B46" s="6"/>
      <c r="C46" s="6"/>
      <c r="D46" s="6"/>
      <c r="E46" s="6"/>
      <c r="F46" s="7"/>
      <c r="G46" s="6"/>
      <c r="H46" s="6"/>
      <c r="I46" s="6" t="str">
        <f t="array" ref="I46">_xlfn.SWITCH(H46,"XS",1,"S",2,"M",3,"L",5,"XL",8,"XXL",13,"XXXL",21,"")</f>
        <v/>
      </c>
      <c r="J46" s="6"/>
      <c r="K46" s="6"/>
      <c r="L46" s="6"/>
    </row>
    <row r="47" spans="1:12" x14ac:dyDescent="0.3">
      <c r="A47" s="6"/>
      <c r="B47" s="6"/>
      <c r="C47" s="6"/>
      <c r="D47" s="6"/>
      <c r="E47" s="6"/>
      <c r="F47" s="7"/>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8"/>
      <c r="G49" s="6"/>
      <c r="H49" s="6"/>
      <c r="I49" s="6" t="str">
        <f t="array" ref="I49">_xlfn.SWITCH(H49,"XS",1,"S",2,"M",3,"L",5,"XL",8,"XXL",13,"XXXL",21,"")</f>
        <v/>
      </c>
      <c r="J49" s="6"/>
      <c r="K49" s="6"/>
      <c r="L49" s="6"/>
    </row>
    <row r="50" spans="1:12" x14ac:dyDescent="0.3">
      <c r="A50" s="6"/>
      <c r="B50" s="6"/>
      <c r="C50" s="6"/>
      <c r="D50" s="6"/>
      <c r="E50" s="6"/>
      <c r="F50" s="8"/>
      <c r="G50" s="6"/>
      <c r="H50" s="6"/>
      <c r="I50" s="6" t="str">
        <f t="array" ref="I50">_xlfn.SWITCH(H50,"XS",1,"S",2,"M",3,"L",5,"XL",8,"XXL",13,"XXXL",21,"")</f>
        <v/>
      </c>
      <c r="J50" s="6"/>
      <c r="K50" s="6"/>
      <c r="L50" s="6"/>
    </row>
    <row r="51" spans="1:12" x14ac:dyDescent="0.3">
      <c r="A51" s="6"/>
      <c r="B51" s="6"/>
      <c r="C51" s="6"/>
      <c r="D51" s="6"/>
      <c r="E51" s="6"/>
      <c r="F51" s="8"/>
      <c r="G51" s="6"/>
      <c r="H51" s="6"/>
      <c r="I51" s="6" t="str">
        <f t="array" ref="I51">_xlfn.SWITCH(H51,"XS",1,"S",2,"M",3,"L",5,"XL",8,"XXL",13,"XXXL",21,"")</f>
        <v/>
      </c>
      <c r="J51" s="6"/>
      <c r="K51" s="6"/>
      <c r="L51" s="6"/>
    </row>
    <row r="52" spans="1:12" x14ac:dyDescent="0.3">
      <c r="A52" s="6"/>
      <c r="B52" s="6"/>
      <c r="C52" s="6"/>
      <c r="D52" s="6"/>
      <c r="E52" s="6"/>
      <c r="F52" s="8"/>
      <c r="G52" s="6"/>
      <c r="H52" s="6"/>
      <c r="I52" s="6" t="str">
        <f t="array" ref="I52">_xlfn.SWITCH(H52,"XS",1,"S",2,"M",3,"L",5,"XL",8,"XXL",13,"XXXL",21,"")</f>
        <v/>
      </c>
      <c r="J52" s="6"/>
      <c r="K52" s="6"/>
      <c r="L52" s="6"/>
    </row>
    <row r="53" spans="1:12" x14ac:dyDescent="0.3">
      <c r="A53" s="6"/>
      <c r="B53" s="6"/>
      <c r="C53" s="6"/>
      <c r="D53" s="6"/>
      <c r="E53" s="6"/>
      <c r="F53" s="8"/>
      <c r="G53" s="6"/>
      <c r="H53" s="6"/>
      <c r="I53" s="6" t="str">
        <f t="array" ref="I53">_xlfn.SWITCH(H53,"XS",1,"S",2,"M",3,"L",5,"XL",8,"XXL",13,"XXXL",21,"")</f>
        <v/>
      </c>
      <c r="J53" s="6"/>
      <c r="K53" s="6"/>
      <c r="L53" s="6"/>
    </row>
    <row r="54" spans="1:12" x14ac:dyDescent="0.3">
      <c r="A54" s="6"/>
      <c r="B54" s="6"/>
      <c r="C54" s="6"/>
      <c r="D54" s="6"/>
      <c r="E54" s="6"/>
      <c r="F54" s="8"/>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7"/>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7"/>
      <c r="G61" s="6"/>
      <c r="H61" s="6"/>
      <c r="I61" s="6" t="str">
        <f t="array" ref="I61">_xlfn.SWITCH(H61,"XS",1,"S",2,"M",3,"L",5,"XL",8,"XXL",13,"XXXL",21,"")</f>
        <v/>
      </c>
      <c r="J61" s="6"/>
      <c r="K61" s="6"/>
      <c r="L61" s="6"/>
    </row>
    <row r="62" spans="1:12" x14ac:dyDescent="0.3">
      <c r="A62" s="6"/>
      <c r="B62" s="6"/>
      <c r="C62" s="6"/>
      <c r="D62" s="6"/>
      <c r="E62" s="6"/>
      <c r="F62" s="7"/>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5"/>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5"/>
      <c r="G68" s="6"/>
      <c r="H68" s="6"/>
      <c r="I68" s="6" t="str">
        <f t="array" ref="I68">_xlfn.SWITCH(H68,"XS",1,"S",2,"M",3,"L",5,"XL",8,"XXL",13,"XXXL",21,"")</f>
        <v/>
      </c>
      <c r="J68" s="6"/>
      <c r="K68" s="6"/>
      <c r="L68" s="6"/>
    </row>
    <row r="69" spans="1:12" x14ac:dyDescent="0.3">
      <c r="A69" s="6"/>
      <c r="B69" s="6"/>
      <c r="C69" s="6"/>
      <c r="D69" s="6"/>
      <c r="E69" s="6"/>
      <c r="F69" s="5"/>
      <c r="G69" s="6"/>
      <c r="H69" s="6"/>
      <c r="I69" s="6" t="str">
        <f t="array" ref="I69">_xlfn.SWITCH(H69,"XS",1,"S",2,"M",3,"L",5,"XL",8,"XXL",13,"XXXL",21,"")</f>
        <v/>
      </c>
      <c r="J69" s="6"/>
      <c r="K69" s="6"/>
      <c r="L69" s="6"/>
    </row>
    <row r="70" spans="1:12" x14ac:dyDescent="0.3">
      <c r="A70" s="6"/>
      <c r="B70" s="6"/>
      <c r="C70" s="6"/>
      <c r="D70" s="6"/>
      <c r="E70" s="6"/>
      <c r="F70" s="7"/>
      <c r="G70" s="6"/>
      <c r="H70" s="6"/>
      <c r="I70" s="6" t="str">
        <f t="array" ref="I70">_xlfn.SWITCH(H70,"XS",1,"S",2,"M",3,"L",5,"XL",8,"XXL",13,"XXXL",21,"")</f>
        <v/>
      </c>
      <c r="J70" s="6"/>
      <c r="K70" s="6"/>
      <c r="L70" s="6"/>
    </row>
    <row r="71" spans="1:12" x14ac:dyDescent="0.3">
      <c r="A71" s="6"/>
      <c r="B71" s="6"/>
      <c r="C71" s="6"/>
      <c r="D71" s="6"/>
      <c r="E71" s="6"/>
      <c r="F71" s="7"/>
      <c r="G71" s="6"/>
      <c r="H71" s="6"/>
      <c r="I71" s="6" t="str">
        <f t="array" ref="I71">_xlfn.SWITCH(H71,"XS",1,"S",2,"M",3,"L",5,"XL",8,"XXL",13,"XXXL",21,"")</f>
        <v/>
      </c>
      <c r="J71" s="6"/>
      <c r="K71" s="6"/>
      <c r="L71" s="6"/>
    </row>
    <row r="72" spans="1:12" x14ac:dyDescent="0.3">
      <c r="A72" s="6"/>
      <c r="B72" s="6"/>
      <c r="C72" s="6"/>
      <c r="D72" s="6"/>
      <c r="E72" s="6"/>
      <c r="F72" s="7"/>
      <c r="G72" s="6"/>
      <c r="H72" s="6"/>
      <c r="I72" s="6" t="str">
        <f t="array" ref="I72">_xlfn.SWITCH(H72,"XS",1,"S",2,"M",3,"L",5,"XL",8,"XXL",13,"XXXL",21,"")</f>
        <v/>
      </c>
      <c r="J72" s="6"/>
      <c r="K72" s="6"/>
      <c r="L72" s="6"/>
    </row>
    <row r="73" spans="1:12" x14ac:dyDescent="0.3">
      <c r="A73" s="6"/>
      <c r="B73" s="6"/>
      <c r="C73" s="6"/>
      <c r="D73" s="6"/>
      <c r="E73" s="6"/>
      <c r="F73" s="7"/>
      <c r="G73" s="6"/>
      <c r="H73" s="6"/>
      <c r="I73" s="6" t="str">
        <f t="array" ref="I73">_xlfn.SWITCH(H73,"XS",1,"S",2,"M",3,"L",5,"XL",8,"XXL",13,"XXXL",21,"")</f>
        <v/>
      </c>
      <c r="J73" s="6"/>
      <c r="K73" s="6"/>
      <c r="L73" s="6"/>
    </row>
    <row r="74" spans="1:12" x14ac:dyDescent="0.3">
      <c r="A74" s="6"/>
      <c r="B74" s="6"/>
      <c r="C74" s="6"/>
      <c r="D74" s="6"/>
      <c r="E74" s="6"/>
      <c r="F74" s="7"/>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row r="104" spans="1:12" x14ac:dyDescent="0.3">
      <c r="A104" s="6"/>
      <c r="B104" s="6"/>
      <c r="C104" s="6"/>
      <c r="D104" s="6"/>
      <c r="E104" s="6"/>
      <c r="F104" s="8"/>
      <c r="G104" s="6"/>
      <c r="H104" s="6"/>
      <c r="I104" s="6" t="str">
        <f t="array" ref="I104">_xlfn.SWITCH(H104,"XS",1,"S",2,"M",3,"L",5,"XL",8,"XXL",13,"XXXL",21,"")</f>
        <v/>
      </c>
      <c r="J104" s="6"/>
      <c r="K104" s="6"/>
      <c r="L104" s="6"/>
    </row>
    <row r="105" spans="1:12" x14ac:dyDescent="0.3">
      <c r="A105" s="6"/>
      <c r="B105" s="6"/>
      <c r="C105" s="6"/>
      <c r="D105" s="6"/>
      <c r="E105" s="6"/>
      <c r="F105" s="8"/>
      <c r="G105" s="6"/>
      <c r="H105" s="6"/>
      <c r="I105" s="6" t="str">
        <f t="array" ref="I105">_xlfn.SWITCH(H105,"XS",1,"S",2,"M",3,"L",5,"XL",8,"XXL",13,"XXXL",21,"")</f>
        <v/>
      </c>
      <c r="J105" s="6"/>
      <c r="K105" s="6"/>
      <c r="L105" s="6"/>
    </row>
    <row r="106" spans="1:12" x14ac:dyDescent="0.3">
      <c r="A106" s="6"/>
      <c r="B106" s="6"/>
      <c r="C106" s="6"/>
      <c r="D106" s="6"/>
      <c r="E106" s="6"/>
      <c r="F106" s="8"/>
      <c r="G106" s="6"/>
      <c r="H106" s="6"/>
      <c r="I106" s="6" t="str">
        <f t="array" ref="I106">_xlfn.SWITCH(H106,"XS",1,"S",2,"M",3,"L",5,"XL",8,"XXL",13,"XXXL",21,"")</f>
        <v/>
      </c>
      <c r="J106" s="6"/>
      <c r="K106" s="6"/>
      <c r="L106" s="6"/>
    </row>
    <row r="107" spans="1:12" x14ac:dyDescent="0.3">
      <c r="A107" s="6"/>
      <c r="B107" s="6"/>
      <c r="C107" s="6"/>
      <c r="D107" s="6"/>
      <c r="E107" s="6"/>
      <c r="F107" s="8"/>
      <c r="G107" s="6"/>
      <c r="H107" s="6"/>
      <c r="I107" s="6" t="str">
        <f t="array" ref="I107">_xlfn.SWITCH(H107,"XS",1,"S",2,"M",3,"L",5,"XL",8,"XXL",13,"XXXL",21,"")</f>
        <v/>
      </c>
      <c r="J107" s="6"/>
      <c r="K107" s="6"/>
      <c r="L107" s="6"/>
    </row>
    <row r="108" spans="1:12" x14ac:dyDescent="0.3">
      <c r="A108" s="6"/>
      <c r="B108" s="6"/>
      <c r="C108" s="6"/>
      <c r="D108" s="6"/>
      <c r="E108" s="6"/>
      <c r="F108" s="8"/>
      <c r="G108" s="6"/>
      <c r="H108" s="6"/>
      <c r="I108" s="6" t="str">
        <f t="array" ref="I108">_xlfn.SWITCH(H108,"XS",1,"S",2,"M",3,"L",5,"XL",8,"XXL",13,"XXXL",21,"")</f>
        <v/>
      </c>
      <c r="J108" s="6"/>
      <c r="K108" s="6"/>
      <c r="L108" s="6"/>
    </row>
    <row r="109" spans="1:12" x14ac:dyDescent="0.3">
      <c r="A109" s="6"/>
      <c r="B109" s="6"/>
      <c r="C109" s="6"/>
      <c r="D109" s="6"/>
      <c r="E109" s="6"/>
      <c r="F109" s="8"/>
      <c r="G109" s="6"/>
      <c r="H109" s="6"/>
      <c r="I109" s="6" t="str">
        <f t="array" ref="I109">_xlfn.SWITCH(H109,"XS",1,"S",2,"M",3,"L",5,"XL",8,"XXL",13,"XXXL",21,"")</f>
        <v/>
      </c>
      <c r="J109" s="6"/>
      <c r="K109" s="6"/>
      <c r="L109" s="6"/>
    </row>
    <row r="110" spans="1:12" x14ac:dyDescent="0.3">
      <c r="A110" s="6"/>
      <c r="B110" s="6"/>
      <c r="C110" s="6"/>
      <c r="D110" s="6"/>
      <c r="E110" s="6"/>
      <c r="F110" s="8"/>
      <c r="G110" s="6"/>
      <c r="H110" s="6"/>
      <c r="I110" s="6" t="str">
        <f t="array" ref="I110">_xlfn.SWITCH(H110,"XS",1,"S",2,"M",3,"L",5,"XL",8,"XXL",13,"XXXL",21,"")</f>
        <v/>
      </c>
      <c r="J110" s="6"/>
      <c r="K110" s="6"/>
      <c r="L110"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sqref="A1:XFD104857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46251</v>
      </c>
      <c r="C2" s="19">
        <f>75-SUM(E$2:E2)</f>
        <v>75</v>
      </c>
      <c r="D2" s="20">
        <f>75*(1-(A2/8))</f>
        <v>75</v>
      </c>
      <c r="E2" s="20">
        <v>0</v>
      </c>
    </row>
    <row r="3" spans="1:12" x14ac:dyDescent="0.3">
      <c r="A3" s="17">
        <v>1</v>
      </c>
      <c r="B3" s="18">
        <v>46252</v>
      </c>
      <c r="C3" s="19">
        <f>75-SUM(E$2:E3)</f>
        <v>75</v>
      </c>
      <c r="D3" s="20">
        <f t="shared" ref="D3:D10" si="0">75*(1-(A3/8))</f>
        <v>65.625</v>
      </c>
      <c r="E3" s="20">
        <v>0</v>
      </c>
    </row>
    <row r="4" spans="1:12" x14ac:dyDescent="0.3">
      <c r="A4" s="17">
        <v>2</v>
      </c>
      <c r="B4" s="18">
        <v>46253</v>
      </c>
      <c r="C4" s="19">
        <f>75-SUM(E$2:E4)</f>
        <v>75</v>
      </c>
      <c r="D4" s="20">
        <f t="shared" si="0"/>
        <v>56.25</v>
      </c>
      <c r="E4" s="20">
        <v>0</v>
      </c>
      <c r="L4" s="2"/>
    </row>
    <row r="5" spans="1:12" x14ac:dyDescent="0.3">
      <c r="A5" s="17">
        <v>3</v>
      </c>
      <c r="B5" s="18">
        <v>46254</v>
      </c>
      <c r="C5" s="19">
        <f>75-SUM(E$2:E5)</f>
        <v>72</v>
      </c>
      <c r="D5" s="20">
        <f t="shared" si="0"/>
        <v>46.875</v>
      </c>
      <c r="E5" s="20">
        <v>3</v>
      </c>
    </row>
    <row r="6" spans="1:12" x14ac:dyDescent="0.3">
      <c r="A6" s="17">
        <v>4</v>
      </c>
      <c r="B6" s="18">
        <v>46255</v>
      </c>
      <c r="C6" s="19">
        <f>75-SUM(E$2:E6)</f>
        <v>65</v>
      </c>
      <c r="D6" s="20">
        <f t="shared" si="0"/>
        <v>37.5</v>
      </c>
      <c r="E6" s="20">
        <v>7</v>
      </c>
    </row>
    <row r="7" spans="1:12" x14ac:dyDescent="0.3">
      <c r="A7" s="17">
        <v>5</v>
      </c>
      <c r="B7" s="18">
        <v>46258</v>
      </c>
      <c r="C7" s="19">
        <f>75-SUM(E$2:E7)</f>
        <v>60</v>
      </c>
      <c r="D7" s="20">
        <f t="shared" si="0"/>
        <v>28.125</v>
      </c>
      <c r="E7" s="20">
        <v>5</v>
      </c>
    </row>
    <row r="8" spans="1:12" x14ac:dyDescent="0.3">
      <c r="A8" s="17">
        <v>6</v>
      </c>
      <c r="B8" s="18">
        <v>46259</v>
      </c>
      <c r="C8" s="19">
        <f>75-SUM(E$2:E8)</f>
        <v>48</v>
      </c>
      <c r="D8" s="20">
        <f t="shared" si="0"/>
        <v>18.75</v>
      </c>
      <c r="E8" s="20">
        <v>12</v>
      </c>
    </row>
    <row r="9" spans="1:12" x14ac:dyDescent="0.3">
      <c r="A9" s="17">
        <v>7</v>
      </c>
      <c r="B9" s="18">
        <v>46260</v>
      </c>
      <c r="C9" s="19">
        <f>75-SUM(E$2:E9)</f>
        <v>35</v>
      </c>
      <c r="D9" s="20">
        <f t="shared" si="0"/>
        <v>9.375</v>
      </c>
      <c r="E9" s="20">
        <v>13</v>
      </c>
    </row>
    <row r="10" spans="1:12" x14ac:dyDescent="0.3">
      <c r="A10" s="17">
        <v>8</v>
      </c>
      <c r="B10" s="18">
        <v>46261</v>
      </c>
      <c r="C10" s="19">
        <f>75-SUM(E$2:E10)</f>
        <v>0</v>
      </c>
      <c r="D10" s="20">
        <f t="shared" si="0"/>
        <v>0</v>
      </c>
      <c r="E10" s="20">
        <v>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03"/>
  <sheetViews>
    <sheetView zoomScale="82" workbookViewId="0">
      <selection activeCell="O3" sqref="O3"/>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01.6" x14ac:dyDescent="0.3">
      <c r="A2" s="12">
        <v>1</v>
      </c>
      <c r="B2" s="12" t="s">
        <v>94</v>
      </c>
      <c r="C2" s="12"/>
      <c r="D2" s="12"/>
      <c r="E2" s="12" t="s">
        <v>22</v>
      </c>
      <c r="F2" s="13" t="s">
        <v>120</v>
      </c>
      <c r="G2" s="12" t="s">
        <v>24</v>
      </c>
      <c r="H2" s="12" t="s">
        <v>131</v>
      </c>
      <c r="I2" s="12">
        <f t="array" ref="I2">_xlfn.SWITCH(H2,"XS",1,"S",2,"M",3,"L",5,"XL",8,"XXL",13,"XXXL",21,"")</f>
        <v>8</v>
      </c>
      <c r="J2" s="12" t="s">
        <v>75</v>
      </c>
      <c r="K2" s="12"/>
      <c r="L2" s="12"/>
    </row>
    <row r="3" spans="1:12" ht="172.8" x14ac:dyDescent="0.3">
      <c r="A3" s="12">
        <v>2</v>
      </c>
      <c r="B3" s="12" t="s">
        <v>94</v>
      </c>
      <c r="C3" s="12"/>
      <c r="D3" s="12"/>
      <c r="E3" s="12" t="s">
        <v>31</v>
      </c>
      <c r="F3" s="13" t="s">
        <v>121</v>
      </c>
      <c r="G3" s="12" t="s">
        <v>24</v>
      </c>
      <c r="H3" s="12" t="s">
        <v>30</v>
      </c>
      <c r="I3" s="12">
        <f t="array" ref="I3">_xlfn.SWITCH(H3,"XS",1,"S",2,"M",3,"L",5,"XL",8,"XXL",13,"XXXL",21,"")</f>
        <v>5</v>
      </c>
      <c r="J3" s="12" t="s">
        <v>75</v>
      </c>
      <c r="K3" s="12"/>
      <c r="L3" s="12"/>
    </row>
    <row r="4" spans="1:12" ht="172.8" x14ac:dyDescent="0.3">
      <c r="A4" s="12">
        <v>3</v>
      </c>
      <c r="B4" s="12" t="s">
        <v>94</v>
      </c>
      <c r="C4" s="12"/>
      <c r="D4" s="12"/>
      <c r="E4" s="12" t="s">
        <v>20</v>
      </c>
      <c r="F4" s="13" t="s">
        <v>122</v>
      </c>
      <c r="G4" s="12" t="s">
        <v>24</v>
      </c>
      <c r="H4" s="12" t="s">
        <v>131</v>
      </c>
      <c r="I4" s="12">
        <f t="array" ref="I4">_xlfn.SWITCH(H4,"XS",1,"S",2,"M",3,"L",5,"XL",8,"XXL",13,"XXXL",21,"")</f>
        <v>8</v>
      </c>
      <c r="J4" s="12" t="s">
        <v>75</v>
      </c>
      <c r="K4" s="12"/>
      <c r="L4" s="12"/>
    </row>
    <row r="5" spans="1:12" ht="172.8" x14ac:dyDescent="0.3">
      <c r="A5" s="12">
        <v>4</v>
      </c>
      <c r="B5" s="12" t="s">
        <v>94</v>
      </c>
      <c r="C5" s="12"/>
      <c r="D5" s="12"/>
      <c r="E5" s="12" t="s">
        <v>31</v>
      </c>
      <c r="F5" s="13" t="s">
        <v>123</v>
      </c>
      <c r="G5" s="12" t="s">
        <v>24</v>
      </c>
      <c r="H5" s="12" t="s">
        <v>30</v>
      </c>
      <c r="I5" s="12">
        <f t="array" ref="I5">_xlfn.SWITCH(H5,"XS",1,"S",2,"M",3,"L",5,"XL",8,"XXL",13,"XXXL",21,"")</f>
        <v>5</v>
      </c>
      <c r="J5" s="12" t="s">
        <v>75</v>
      </c>
      <c r="K5" s="12"/>
      <c r="L5" s="12"/>
    </row>
    <row r="6" spans="1:12" ht="273.60000000000002" x14ac:dyDescent="0.3">
      <c r="A6" s="12">
        <v>9</v>
      </c>
      <c r="B6" s="12" t="s">
        <v>94</v>
      </c>
      <c r="C6" s="12"/>
      <c r="D6" s="12"/>
      <c r="E6" s="12" t="s">
        <v>31</v>
      </c>
      <c r="F6" s="13" t="s">
        <v>136</v>
      </c>
      <c r="G6" s="12" t="s">
        <v>29</v>
      </c>
      <c r="H6" s="12" t="s">
        <v>23</v>
      </c>
      <c r="I6" s="12">
        <f t="array" ref="I6">_xlfn.SWITCH(H6,"XS",1,"S",2,"M",3,"L",5,"XL",8,"XXL",13,"XXXL",21,"")</f>
        <v>2</v>
      </c>
      <c r="J6" s="12" t="s">
        <v>75</v>
      </c>
      <c r="K6" s="12"/>
      <c r="L6" s="12"/>
    </row>
    <row r="7" spans="1:12" ht="216" x14ac:dyDescent="0.3">
      <c r="A7" s="12">
        <v>10</v>
      </c>
      <c r="B7" s="12" t="s">
        <v>94</v>
      </c>
      <c r="C7" s="12"/>
      <c r="D7" s="12"/>
      <c r="E7" s="12" t="s">
        <v>20</v>
      </c>
      <c r="F7" s="13" t="s">
        <v>137</v>
      </c>
      <c r="G7" s="12" t="s">
        <v>29</v>
      </c>
      <c r="H7" s="12" t="s">
        <v>23</v>
      </c>
      <c r="I7" s="12">
        <f t="array" ref="I7">_xlfn.SWITCH(H7,"XS",1,"S",2,"M",3,"L",5,"XL",8,"XXL",13,"XXXL",21,"")</f>
        <v>2</v>
      </c>
      <c r="J7" s="12" t="s">
        <v>75</v>
      </c>
      <c r="K7" s="12"/>
      <c r="L7" s="12"/>
    </row>
    <row r="8" spans="1:12" ht="244.8" x14ac:dyDescent="0.3">
      <c r="A8" s="12">
        <v>11</v>
      </c>
      <c r="B8" s="12" t="s">
        <v>94</v>
      </c>
      <c r="C8" s="12"/>
      <c r="D8" s="12"/>
      <c r="E8" s="12" t="s">
        <v>31</v>
      </c>
      <c r="F8" s="13" t="s">
        <v>138</v>
      </c>
      <c r="G8" s="12" t="s">
        <v>29</v>
      </c>
      <c r="H8" s="12" t="s">
        <v>23</v>
      </c>
      <c r="I8" s="12">
        <f t="array" ref="I8">_xlfn.SWITCH(H8,"XS",1,"S",2,"M",3,"L",5,"XL",8,"XXL",13,"XXXL",21,"")</f>
        <v>2</v>
      </c>
      <c r="J8" s="12" t="s">
        <v>75</v>
      </c>
      <c r="K8" s="12"/>
      <c r="L8" s="12"/>
    </row>
    <row r="9" spans="1:12" ht="187.2" x14ac:dyDescent="0.3">
      <c r="A9" s="12">
        <v>12</v>
      </c>
      <c r="B9" s="12" t="s">
        <v>94</v>
      </c>
      <c r="C9" s="12"/>
      <c r="D9" s="12"/>
      <c r="E9" s="12" t="s">
        <v>22</v>
      </c>
      <c r="F9" s="13" t="s">
        <v>139</v>
      </c>
      <c r="G9" s="12" t="s">
        <v>29</v>
      </c>
      <c r="H9" s="12" t="s">
        <v>23</v>
      </c>
      <c r="I9" s="12">
        <f t="array" ref="I9">_xlfn.SWITCH(H9,"XS",1,"S",2,"M",3,"L",5,"XL",8,"XXL",13,"XXXL",21,"")</f>
        <v>2</v>
      </c>
      <c r="J9" s="12" t="s">
        <v>75</v>
      </c>
      <c r="K9" s="12"/>
      <c r="L9" s="12"/>
    </row>
    <row r="10" spans="1:12" ht="100.8" x14ac:dyDescent="0.3">
      <c r="A10" s="14">
        <v>13</v>
      </c>
      <c r="B10" s="14" t="s">
        <v>124</v>
      </c>
      <c r="C10" s="14"/>
      <c r="D10" s="14"/>
      <c r="E10" s="14" t="s">
        <v>22</v>
      </c>
      <c r="F10" s="15" t="s">
        <v>125</v>
      </c>
      <c r="G10" s="14" t="s">
        <v>29</v>
      </c>
      <c r="H10" s="14" t="s">
        <v>30</v>
      </c>
      <c r="I10" s="14">
        <f t="array" ref="I10">_xlfn.SWITCH(H10,"XS",1,"S",2,"M",3,"L",5,"XL",8,"XXL",13,"XXXL",21,"")</f>
        <v>5</v>
      </c>
      <c r="J10" s="14" t="s">
        <v>75</v>
      </c>
      <c r="K10" s="14"/>
      <c r="L10" s="14"/>
    </row>
    <row r="11" spans="1:12" ht="100.8" x14ac:dyDescent="0.3">
      <c r="A11" s="14">
        <v>14</v>
      </c>
      <c r="B11" s="14" t="s">
        <v>124</v>
      </c>
      <c r="C11" s="14"/>
      <c r="D11" s="14"/>
      <c r="E11" s="14" t="s">
        <v>31</v>
      </c>
      <c r="F11" s="15" t="s">
        <v>126</v>
      </c>
      <c r="G11" s="14" t="s">
        <v>29</v>
      </c>
      <c r="H11" s="14" t="s">
        <v>23</v>
      </c>
      <c r="I11" s="14">
        <f t="array" ref="I11">_xlfn.SWITCH(H11,"XS",1,"S",2,"M",3,"L",5,"XL",8,"XXL",13,"XXXL",21,"")</f>
        <v>2</v>
      </c>
      <c r="J11" s="14" t="s">
        <v>75</v>
      </c>
      <c r="K11" s="14"/>
      <c r="L11" s="14"/>
    </row>
    <row r="12" spans="1:12" ht="115.2" x14ac:dyDescent="0.3">
      <c r="A12" s="14">
        <v>15</v>
      </c>
      <c r="B12" s="14" t="s">
        <v>124</v>
      </c>
      <c r="C12" s="14"/>
      <c r="D12" s="14"/>
      <c r="E12" s="14" t="s">
        <v>20</v>
      </c>
      <c r="F12" s="15" t="s">
        <v>127</v>
      </c>
      <c r="G12" s="14" t="s">
        <v>29</v>
      </c>
      <c r="H12" s="14" t="s">
        <v>27</v>
      </c>
      <c r="I12" s="14">
        <f t="array" ref="I12">_xlfn.SWITCH(H12,"XS",1,"S",2,"M",3,"L",5,"XL",8,"XXL",13,"XXXL",21,"")</f>
        <v>3</v>
      </c>
      <c r="J12" s="14" t="s">
        <v>75</v>
      </c>
      <c r="K12" s="14"/>
      <c r="L12" s="14"/>
    </row>
    <row r="13" spans="1:12" ht="115.2" x14ac:dyDescent="0.3">
      <c r="A13" s="14">
        <v>16</v>
      </c>
      <c r="B13" s="14" t="s">
        <v>124</v>
      </c>
      <c r="C13" s="14"/>
      <c r="D13" s="14"/>
      <c r="E13" s="14" t="s">
        <v>20</v>
      </c>
      <c r="F13" s="15" t="s">
        <v>128</v>
      </c>
      <c r="G13" s="14" t="s">
        <v>29</v>
      </c>
      <c r="H13" s="14" t="s">
        <v>30</v>
      </c>
      <c r="I13" s="14">
        <f t="array" ref="I13">_xlfn.SWITCH(H13,"XS",1,"S",2,"M",3,"L",5,"XL",8,"XXL",13,"XXXL",21,"")</f>
        <v>5</v>
      </c>
      <c r="J13" s="14" t="s">
        <v>75</v>
      </c>
      <c r="K13" s="14"/>
      <c r="L13" s="14"/>
    </row>
    <row r="14" spans="1:12" ht="100.8" x14ac:dyDescent="0.3">
      <c r="A14" s="14">
        <v>17</v>
      </c>
      <c r="B14" s="14" t="s">
        <v>124</v>
      </c>
      <c r="C14" s="14"/>
      <c r="D14" s="14"/>
      <c r="E14" s="14" t="s">
        <v>20</v>
      </c>
      <c r="F14" s="15" t="s">
        <v>129</v>
      </c>
      <c r="G14" s="14" t="s">
        <v>29</v>
      </c>
      <c r="H14" s="14" t="s">
        <v>23</v>
      </c>
      <c r="I14" s="14">
        <f t="array" ref="I14">_xlfn.SWITCH(H14,"XS",1,"S",2,"M",3,"L",5,"XL",8,"XXL",13,"XXXL",21,"")</f>
        <v>2</v>
      </c>
      <c r="J14" s="14" t="s">
        <v>75</v>
      </c>
      <c r="K14" s="14"/>
      <c r="L14" s="14"/>
    </row>
    <row r="15" spans="1:12" ht="100.8" x14ac:dyDescent="0.3">
      <c r="A15" s="14">
        <v>18</v>
      </c>
      <c r="B15" s="14" t="s">
        <v>124</v>
      </c>
      <c r="C15" s="14"/>
      <c r="D15" s="14"/>
      <c r="E15" s="14" t="s">
        <v>20</v>
      </c>
      <c r="F15" s="15" t="s">
        <v>130</v>
      </c>
      <c r="G15" s="14" t="s">
        <v>29</v>
      </c>
      <c r="H15" s="14" t="s">
        <v>19</v>
      </c>
      <c r="I15" s="14">
        <f t="array" ref="I15">_xlfn.SWITCH(H15,"XS",1,"S",2,"M",3,"L",5,"XL",8,"XXL",13,"XXXL",21,"")</f>
        <v>1</v>
      </c>
      <c r="J15" s="14" t="s">
        <v>75</v>
      </c>
      <c r="K15" s="14"/>
      <c r="L15" s="14"/>
    </row>
    <row r="16" spans="1:12" x14ac:dyDescent="0.3">
      <c r="A16" s="6"/>
      <c r="B16" s="6"/>
      <c r="C16" s="6"/>
      <c r="D16" s="6"/>
      <c r="E16" s="6"/>
      <c r="F16" s="8"/>
      <c r="G16" s="6"/>
      <c r="H16" s="6"/>
      <c r="I16" s="6"/>
      <c r="J16" s="6"/>
      <c r="K16" s="6"/>
      <c r="L16" s="6"/>
    </row>
    <row r="17" spans="1:12" x14ac:dyDescent="0.3">
      <c r="A17" s="6"/>
      <c r="B17" s="6"/>
      <c r="C17" s="6"/>
      <c r="D17" s="6"/>
      <c r="E17" s="6"/>
      <c r="F17" s="8"/>
      <c r="G17" s="6"/>
      <c r="H17" s="6"/>
      <c r="I17" s="6" t="str">
        <f t="array" ref="I17">_xlfn.SWITCH(H17,"XS",1,"S",2,"M",3,"L",5,"XL",8,"XXL",13,"XXXL",21,"")</f>
        <v/>
      </c>
      <c r="J17" s="6"/>
      <c r="K17" s="6"/>
      <c r="L17" s="6"/>
    </row>
    <row r="18" spans="1:12" x14ac:dyDescent="0.3">
      <c r="A18" s="6"/>
      <c r="B18" s="6"/>
      <c r="C18" s="6"/>
      <c r="D18" s="6"/>
      <c r="E18" s="6"/>
      <c r="F18" s="8"/>
      <c r="G18" s="6"/>
      <c r="H18" s="6"/>
      <c r="I18" s="6" t="str">
        <f t="array" ref="I18">_xlfn.SWITCH(H18,"XS",1,"S",2,"M",3,"L",5,"XL",8,"XXL",13,"XXXL",21,"")</f>
        <v/>
      </c>
      <c r="J18" s="6"/>
      <c r="K18" s="6"/>
      <c r="L18" s="6"/>
    </row>
    <row r="19" spans="1:12" x14ac:dyDescent="0.3">
      <c r="A19" s="6"/>
      <c r="B19" s="6"/>
      <c r="C19" s="6"/>
      <c r="D19" s="6"/>
      <c r="E19" s="6"/>
      <c r="F19" s="8"/>
      <c r="G19" s="6"/>
      <c r="H19" s="6"/>
      <c r="I19" s="6" t="str">
        <f t="array" ref="I19">_xlfn.SWITCH(H19,"XS",1,"S",2,"M",3,"L",5,"XL",8,"XXL",13,"XXXL",21,"")</f>
        <v/>
      </c>
      <c r="J19" s="6"/>
      <c r="K19" s="6"/>
      <c r="L19" s="6"/>
    </row>
    <row r="20" spans="1:12" x14ac:dyDescent="0.3">
      <c r="A20" s="6"/>
      <c r="B20" s="6"/>
      <c r="C20" s="6"/>
      <c r="D20" s="6"/>
      <c r="E20" s="6"/>
      <c r="F20" s="8"/>
      <c r="G20" s="6"/>
      <c r="H20" s="6"/>
      <c r="I20" s="6" t="str">
        <f t="array" ref="I20">_xlfn.SWITCH(H20,"XS",1,"S",2,"M",3,"L",5,"XL",8,"XXL",13,"XXXL",21,"")</f>
        <v/>
      </c>
      <c r="J20" s="6"/>
      <c r="K20" s="6"/>
      <c r="L20" s="6"/>
    </row>
    <row r="21" spans="1:12" x14ac:dyDescent="0.3">
      <c r="A21" s="6"/>
      <c r="B21" s="6"/>
      <c r="C21" s="6"/>
      <c r="D21" s="6"/>
      <c r="E21" s="6"/>
      <c r="F21" s="8"/>
      <c r="G21" s="6"/>
      <c r="H21" s="6"/>
      <c r="I21" s="6" t="str">
        <f t="array" ref="I21">_xlfn.SWITCH(H21,"XS",1,"S",2,"M",3,"L",5,"XL",8,"XXL",13,"XXXL",21,"")</f>
        <v/>
      </c>
      <c r="J21" s="6"/>
      <c r="K21" s="6"/>
      <c r="L21" s="6"/>
    </row>
    <row r="22" spans="1:12" x14ac:dyDescent="0.3">
      <c r="A22" s="6"/>
      <c r="B22" s="6"/>
      <c r="C22" s="6"/>
      <c r="D22" s="6"/>
      <c r="E22" s="6"/>
      <c r="F22" s="8"/>
      <c r="G22" s="6"/>
      <c r="H22" s="6"/>
      <c r="I22" s="6" t="str">
        <f t="array" ref="I22">_xlfn.SWITCH(H22,"XS",1,"S",2,"M",3,"L",5,"XL",8,"XXL",13,"XXXL",21,"")</f>
        <v/>
      </c>
      <c r="J22" s="6"/>
      <c r="K22" s="6"/>
      <c r="L22" s="6"/>
    </row>
    <row r="23" spans="1:12" x14ac:dyDescent="0.3">
      <c r="A23" s="6"/>
      <c r="B23" s="6"/>
      <c r="C23" s="6"/>
      <c r="D23" s="6"/>
      <c r="E23" s="6"/>
      <c r="F23" s="8"/>
      <c r="G23" s="6"/>
      <c r="H23" s="6"/>
      <c r="I23" s="6" t="str">
        <f t="array" ref="I23">_xlfn.SWITCH(H23,"XS",1,"S",2,"M",3,"L",5,"XL",8,"XXL",13,"XXXL",21,"")</f>
        <v/>
      </c>
      <c r="J23" s="6"/>
      <c r="K23" s="6"/>
      <c r="L23" s="6"/>
    </row>
    <row r="24" spans="1:12" x14ac:dyDescent="0.3">
      <c r="A24" s="6"/>
      <c r="B24" s="6"/>
      <c r="C24" s="6"/>
      <c r="D24" s="6"/>
      <c r="E24" s="6"/>
      <c r="F24" s="5"/>
      <c r="G24" s="6"/>
      <c r="H24" s="6"/>
      <c r="I24" s="6" t="str">
        <f t="array" ref="I24">_xlfn.SWITCH(H24,"XS",1,"S",2,"M",3,"L",5,"XL",8,"XXL",13,"XXXL",21,"")</f>
        <v/>
      </c>
      <c r="J24" s="6"/>
      <c r="K24" s="6"/>
      <c r="L24" s="6"/>
    </row>
    <row r="25" spans="1:12" x14ac:dyDescent="0.3">
      <c r="A25" s="6"/>
      <c r="B25" s="6"/>
      <c r="C25" s="6"/>
      <c r="D25" s="6"/>
      <c r="E25" s="6"/>
      <c r="F25" s="7"/>
      <c r="G25" s="6"/>
      <c r="H25" s="6"/>
      <c r="I25" s="6" t="str">
        <f t="array" ref="I25">_xlfn.SWITCH(H25,"XS",1,"S",2,"M",3,"L",5,"XL",8,"XXL",13,"XXXL",21,"")</f>
        <v/>
      </c>
      <c r="J25" s="6"/>
      <c r="K25" s="6"/>
      <c r="L25" s="6"/>
    </row>
    <row r="26" spans="1:12" x14ac:dyDescent="0.3">
      <c r="A26" s="6"/>
      <c r="B26" s="6"/>
      <c r="C26" s="6"/>
      <c r="D26" s="6"/>
      <c r="E26" s="6"/>
      <c r="F26" s="7"/>
      <c r="G26" s="6"/>
      <c r="H26" s="6"/>
      <c r="I26" s="6" t="str">
        <f t="array" ref="I26">_xlfn.SWITCH(H26,"XS",1,"S",2,"M",3,"L",5,"XL",8,"XXL",13,"XXXL",21,"")</f>
        <v/>
      </c>
      <c r="J26" s="6"/>
      <c r="K26" s="6"/>
      <c r="L26" s="6"/>
    </row>
    <row r="27" spans="1:12" x14ac:dyDescent="0.3">
      <c r="A27" s="6"/>
      <c r="B27" s="6"/>
      <c r="C27" s="6"/>
      <c r="D27" s="6"/>
      <c r="E27" s="6"/>
      <c r="F27" s="7"/>
      <c r="G27" s="6"/>
      <c r="H27" s="6"/>
      <c r="I27" s="6" t="str">
        <f t="array" ref="I27">_xlfn.SWITCH(H27,"XS",1,"S",2,"M",3,"L",5,"XL",8,"XXL",13,"XXXL",21,"")</f>
        <v/>
      </c>
      <c r="J27" s="6"/>
      <c r="K27" s="6"/>
      <c r="L27" s="6"/>
    </row>
    <row r="28" spans="1:12" x14ac:dyDescent="0.3">
      <c r="A28" s="6"/>
      <c r="B28" s="6"/>
      <c r="C28" s="6"/>
      <c r="D28" s="6"/>
      <c r="E28" s="6"/>
      <c r="F28" s="7"/>
      <c r="G28" s="6"/>
      <c r="H28" s="6"/>
      <c r="I28" s="6" t="str">
        <f t="array" ref="I28">_xlfn.SWITCH(H28,"XS",1,"S",2,"M",3,"L",5,"XL",8,"XXL",13,"XXXL",21,"")</f>
        <v/>
      </c>
      <c r="J28" s="6"/>
      <c r="K28" s="6"/>
      <c r="L28" s="6"/>
    </row>
    <row r="29" spans="1:12" x14ac:dyDescent="0.3">
      <c r="A29" s="6"/>
      <c r="B29" s="6"/>
      <c r="C29" s="6"/>
      <c r="D29" s="6"/>
      <c r="E29" s="6"/>
      <c r="F29" s="7"/>
      <c r="G29" s="6"/>
      <c r="H29" s="6"/>
      <c r="I29" s="6" t="str">
        <f t="array" ref="I29">_xlfn.SWITCH(H29,"XS",1,"S",2,"M",3,"L",5,"XL",8,"XXL",13,"XXXL",21,"")</f>
        <v/>
      </c>
      <c r="J29" s="6"/>
      <c r="K29" s="6"/>
      <c r="L29" s="6"/>
    </row>
    <row r="30" spans="1:12" x14ac:dyDescent="0.3">
      <c r="A30" s="6"/>
      <c r="B30" s="6"/>
      <c r="C30" s="6"/>
      <c r="D30" s="6"/>
      <c r="E30" s="6"/>
      <c r="F30" s="7"/>
      <c r="G30" s="6"/>
      <c r="H30" s="6"/>
      <c r="I30" s="6" t="str">
        <f t="array" ref="I30">_xlfn.SWITCH(H30,"XS",1,"S",2,"M",3,"L",5,"XL",8,"XXL",13,"XXXL",21,"")</f>
        <v/>
      </c>
      <c r="J30" s="6"/>
      <c r="K30" s="6"/>
      <c r="L30" s="6"/>
    </row>
    <row r="31" spans="1:12" x14ac:dyDescent="0.3">
      <c r="A31" s="6"/>
      <c r="B31" s="6"/>
      <c r="C31" s="6"/>
      <c r="D31" s="6"/>
      <c r="E31" s="6"/>
      <c r="F31" s="7"/>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8"/>
      <c r="G42" s="6"/>
      <c r="H42" s="6"/>
      <c r="I42" s="6" t="str">
        <f t="array" ref="I42">_xlfn.SWITCH(H42,"XS",1,"S",2,"M",3,"L",5,"XL",8,"XXL",13,"XXXL",21,"")</f>
        <v/>
      </c>
      <c r="J42" s="6"/>
      <c r="K42" s="6"/>
      <c r="L42" s="6"/>
    </row>
    <row r="43" spans="1:12" x14ac:dyDescent="0.3">
      <c r="A43" s="6"/>
      <c r="B43" s="6"/>
      <c r="C43" s="6"/>
      <c r="D43" s="6"/>
      <c r="E43" s="6"/>
      <c r="F43" s="8"/>
      <c r="G43" s="6"/>
      <c r="H43" s="6"/>
      <c r="I43" s="6" t="str">
        <f t="array" ref="I43">_xlfn.SWITCH(H43,"XS",1,"S",2,"M",3,"L",5,"XL",8,"XXL",13,"XXXL",21,"")</f>
        <v/>
      </c>
      <c r="J43" s="6"/>
      <c r="K43" s="6"/>
      <c r="L43" s="6"/>
    </row>
    <row r="44" spans="1:12" x14ac:dyDescent="0.3">
      <c r="A44" s="6"/>
      <c r="B44" s="6"/>
      <c r="C44" s="6"/>
      <c r="D44" s="6"/>
      <c r="E44" s="6"/>
      <c r="F44" s="8"/>
      <c r="G44" s="6"/>
      <c r="H44" s="6"/>
      <c r="I44" s="6" t="str">
        <f t="array" ref="I44">_xlfn.SWITCH(H44,"XS",1,"S",2,"M",3,"L",5,"XL",8,"XXL",13,"XXXL",21,"")</f>
        <v/>
      </c>
      <c r="J44" s="6"/>
      <c r="K44" s="6"/>
      <c r="L44" s="6"/>
    </row>
    <row r="45" spans="1:12" x14ac:dyDescent="0.3">
      <c r="A45" s="6"/>
      <c r="B45" s="6"/>
      <c r="C45" s="6"/>
      <c r="D45" s="6"/>
      <c r="E45" s="6"/>
      <c r="F45" s="8"/>
      <c r="G45" s="6"/>
      <c r="H45" s="6"/>
      <c r="I45" s="6" t="str">
        <f t="array" ref="I45">_xlfn.SWITCH(H45,"XS",1,"S",2,"M",3,"L",5,"XL",8,"XXL",13,"XXXL",21,"")</f>
        <v/>
      </c>
      <c r="J45" s="6"/>
      <c r="K45" s="6"/>
      <c r="L45" s="6"/>
    </row>
    <row r="46" spans="1:12" x14ac:dyDescent="0.3">
      <c r="A46" s="6"/>
      <c r="B46" s="6"/>
      <c r="C46" s="6"/>
      <c r="D46" s="6"/>
      <c r="E46" s="6"/>
      <c r="F46" s="8"/>
      <c r="G46" s="6"/>
      <c r="H46" s="6"/>
      <c r="I46" s="6" t="str">
        <f t="array" ref="I46">_xlfn.SWITCH(H46,"XS",1,"S",2,"M",3,"L",5,"XL",8,"XXL",13,"XXXL",21,"")</f>
        <v/>
      </c>
      <c r="J46" s="6"/>
      <c r="K46" s="6"/>
      <c r="L46" s="6"/>
    </row>
    <row r="47" spans="1:12" x14ac:dyDescent="0.3">
      <c r="A47" s="6"/>
      <c r="B47" s="6"/>
      <c r="C47" s="6"/>
      <c r="D47" s="6"/>
      <c r="E47" s="6"/>
      <c r="F47" s="8"/>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7"/>
      <c r="G49" s="6"/>
      <c r="H49" s="6"/>
      <c r="I49" s="6" t="str">
        <f t="array" ref="I49">_xlfn.SWITCH(H49,"XS",1,"S",2,"M",3,"L",5,"XL",8,"XXL",13,"XXXL",21,"")</f>
        <v/>
      </c>
      <c r="J49" s="6"/>
      <c r="K49" s="6"/>
      <c r="L49" s="6"/>
    </row>
    <row r="50" spans="1:12" x14ac:dyDescent="0.3">
      <c r="A50" s="6"/>
      <c r="B50" s="6"/>
      <c r="C50" s="6"/>
      <c r="D50" s="6"/>
      <c r="E50" s="6"/>
      <c r="F50" s="7"/>
      <c r="G50" s="6"/>
      <c r="H50" s="6"/>
      <c r="I50" s="6" t="str">
        <f t="array" ref="I50">_xlfn.SWITCH(H50,"XS",1,"S",2,"M",3,"L",5,"XL",8,"XXL",13,"XXXL",21,"")</f>
        <v/>
      </c>
      <c r="J50" s="6"/>
      <c r="K50" s="6"/>
      <c r="L50" s="6"/>
    </row>
    <row r="51" spans="1:12" x14ac:dyDescent="0.3">
      <c r="A51" s="6"/>
      <c r="B51" s="6"/>
      <c r="C51" s="6"/>
      <c r="D51" s="6"/>
      <c r="E51" s="6"/>
      <c r="F51" s="7"/>
      <c r="G51" s="6"/>
      <c r="H51" s="6"/>
      <c r="I51" s="6" t="str">
        <f t="array" ref="I51">_xlfn.SWITCH(H51,"XS",1,"S",2,"M",3,"L",5,"XL",8,"XXL",13,"XXXL",21,"")</f>
        <v/>
      </c>
      <c r="J51" s="6"/>
      <c r="K51" s="6"/>
      <c r="L51" s="6"/>
    </row>
    <row r="52" spans="1:12" x14ac:dyDescent="0.3">
      <c r="A52" s="6"/>
      <c r="B52" s="6"/>
      <c r="C52" s="6"/>
      <c r="D52" s="6"/>
      <c r="E52" s="6"/>
      <c r="F52" s="7"/>
      <c r="G52" s="6"/>
      <c r="H52" s="6"/>
      <c r="I52" s="6" t="str">
        <f t="array" ref="I52">_xlfn.SWITCH(H52,"XS",1,"S",2,"M",3,"L",5,"XL",8,"XXL",13,"XXXL",21,"")</f>
        <v/>
      </c>
      <c r="J52" s="6"/>
      <c r="K52" s="6"/>
      <c r="L52" s="6"/>
    </row>
    <row r="53" spans="1:12" x14ac:dyDescent="0.3">
      <c r="A53" s="6"/>
      <c r="B53" s="6"/>
      <c r="C53" s="6"/>
      <c r="D53" s="6"/>
      <c r="E53" s="6"/>
      <c r="F53" s="7"/>
      <c r="G53" s="6"/>
      <c r="H53" s="6"/>
      <c r="I53" s="6" t="str">
        <f t="array" ref="I53">_xlfn.SWITCH(H53,"XS",1,"S",2,"M",3,"L",5,"XL",8,"XXL",13,"XXXL",21,"")</f>
        <v/>
      </c>
      <c r="J53" s="6"/>
      <c r="K53" s="6"/>
      <c r="L53" s="6"/>
    </row>
    <row r="54" spans="1:12" x14ac:dyDescent="0.3">
      <c r="A54" s="6"/>
      <c r="B54" s="6"/>
      <c r="C54" s="6"/>
      <c r="D54" s="6"/>
      <c r="E54" s="6"/>
      <c r="F54" s="7"/>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5"/>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5"/>
      <c r="G61" s="6"/>
      <c r="H61" s="6"/>
      <c r="I61" s="6" t="str">
        <f t="array" ref="I61">_xlfn.SWITCH(H61,"XS",1,"S",2,"M",3,"L",5,"XL",8,"XXL",13,"XXXL",21,"")</f>
        <v/>
      </c>
      <c r="J61" s="6"/>
      <c r="K61" s="6"/>
      <c r="L61" s="6"/>
    </row>
    <row r="62" spans="1:12" x14ac:dyDescent="0.3">
      <c r="A62" s="6"/>
      <c r="B62" s="6"/>
      <c r="C62" s="6"/>
      <c r="D62" s="6"/>
      <c r="E62" s="6"/>
      <c r="F62" s="5"/>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7"/>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8"/>
      <c r="G68" s="6"/>
      <c r="H68" s="6"/>
      <c r="I68" s="6" t="str">
        <f t="array" ref="I68">_xlfn.SWITCH(H68,"XS",1,"S",2,"M",3,"L",5,"XL",8,"XXL",13,"XXXL",21,"")</f>
        <v/>
      </c>
      <c r="J68" s="6"/>
      <c r="K68" s="6"/>
      <c r="L68" s="6"/>
    </row>
    <row r="69" spans="1:12" x14ac:dyDescent="0.3">
      <c r="A69" s="6"/>
      <c r="B69" s="6"/>
      <c r="C69" s="6"/>
      <c r="D69" s="6"/>
      <c r="E69" s="6"/>
      <c r="F69" s="8"/>
      <c r="G69" s="6"/>
      <c r="H69" s="6"/>
      <c r="I69" s="6" t="str">
        <f t="array" ref="I69">_xlfn.SWITCH(H69,"XS",1,"S",2,"M",3,"L",5,"XL",8,"XXL",13,"XXXL",21,"")</f>
        <v/>
      </c>
      <c r="J69" s="6"/>
      <c r="K69" s="6"/>
      <c r="L69" s="6"/>
    </row>
    <row r="70" spans="1:12" x14ac:dyDescent="0.3">
      <c r="A70" s="6"/>
      <c r="B70" s="6"/>
      <c r="C70" s="6"/>
      <c r="D70" s="6"/>
      <c r="E70" s="6"/>
      <c r="F70" s="8"/>
      <c r="G70" s="6"/>
      <c r="H70" s="6"/>
      <c r="I70" s="6" t="str">
        <f t="array" ref="I70">_xlfn.SWITCH(H70,"XS",1,"S",2,"M",3,"L",5,"XL",8,"XXL",13,"XXXL",21,"")</f>
        <v/>
      </c>
      <c r="J70" s="6"/>
      <c r="K70" s="6"/>
      <c r="L70" s="6"/>
    </row>
    <row r="71" spans="1:12" x14ac:dyDescent="0.3">
      <c r="A71" s="6"/>
      <c r="B71" s="6"/>
      <c r="C71" s="6"/>
      <c r="D71" s="6"/>
      <c r="E71" s="6"/>
      <c r="F71" s="8"/>
      <c r="G71" s="6"/>
      <c r="H71" s="6"/>
      <c r="I71" s="6" t="str">
        <f t="array" ref="I71">_xlfn.SWITCH(H71,"XS",1,"S",2,"M",3,"L",5,"XL",8,"XXL",13,"XXXL",21,"")</f>
        <v/>
      </c>
      <c r="J71" s="6"/>
      <c r="K71" s="6"/>
      <c r="L71" s="6"/>
    </row>
    <row r="72" spans="1:12" x14ac:dyDescent="0.3">
      <c r="A72" s="6"/>
      <c r="B72" s="6"/>
      <c r="C72" s="6"/>
      <c r="D72" s="6"/>
      <c r="E72" s="6"/>
      <c r="F72" s="8"/>
      <c r="G72" s="6"/>
      <c r="H72" s="6"/>
      <c r="I72" s="6" t="str">
        <f t="array" ref="I72">_xlfn.SWITCH(H72,"XS",1,"S",2,"M",3,"L",5,"XL",8,"XXL",13,"XXXL",21,"")</f>
        <v/>
      </c>
      <c r="J72" s="6"/>
      <c r="K72" s="6"/>
      <c r="L72" s="6"/>
    </row>
    <row r="73" spans="1:12" x14ac:dyDescent="0.3">
      <c r="A73" s="6"/>
      <c r="B73" s="6"/>
      <c r="C73" s="6"/>
      <c r="D73" s="6"/>
      <c r="E73" s="6"/>
      <c r="F73" s="8"/>
      <c r="G73" s="6"/>
      <c r="H73" s="6"/>
      <c r="I73" s="6" t="str">
        <f t="array" ref="I73">_xlfn.SWITCH(H73,"XS",1,"S",2,"M",3,"L",5,"XL",8,"XXL",13,"XXXL",21,"")</f>
        <v/>
      </c>
      <c r="J73" s="6"/>
      <c r="K73" s="6"/>
      <c r="L73" s="6"/>
    </row>
    <row r="74" spans="1:12" x14ac:dyDescent="0.3">
      <c r="A74" s="6"/>
      <c r="B74" s="6"/>
      <c r="C74" s="6"/>
      <c r="D74" s="6"/>
      <c r="E74" s="6"/>
      <c r="F74" s="8"/>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sheetData>
  <autoFilter ref="J1:J103" xr:uid="{AA30D3B6-4BBC-427B-918A-C301767B692F}"/>
  <phoneticPr fontId="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8F6E0-6E10-4552-9483-4F3EB0450BB5}">
  <dimension ref="A1:L14"/>
  <sheetViews>
    <sheetView workbookViewId="0">
      <selection activeCell="E16" sqref="E1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46272</v>
      </c>
      <c r="C2" s="19">
        <f>52-SUM(E$2:E2)</f>
        <v>52</v>
      </c>
      <c r="D2" s="20">
        <f>52*(1-(A2/12))</f>
        <v>52</v>
      </c>
      <c r="E2" s="20">
        <v>0</v>
      </c>
    </row>
    <row r="3" spans="1:12" x14ac:dyDescent="0.3">
      <c r="A3" s="17">
        <v>1</v>
      </c>
      <c r="B3" s="18">
        <v>46273</v>
      </c>
      <c r="C3" s="19">
        <f>52-SUM(E$2:E3)</f>
        <v>52</v>
      </c>
      <c r="D3" s="20">
        <f t="shared" ref="D3:D14" si="0">52*(1-(A3/12))</f>
        <v>47.666666666666664</v>
      </c>
      <c r="E3" s="20">
        <v>0</v>
      </c>
    </row>
    <row r="4" spans="1:12" x14ac:dyDescent="0.3">
      <c r="A4" s="17">
        <v>2</v>
      </c>
      <c r="B4" s="18">
        <v>46274</v>
      </c>
      <c r="C4" s="19">
        <f>52-SUM(E$2:E4)</f>
        <v>52</v>
      </c>
      <c r="D4" s="20">
        <f t="shared" si="0"/>
        <v>43.333333333333336</v>
      </c>
      <c r="E4" s="20">
        <v>0</v>
      </c>
      <c r="L4" s="2"/>
    </row>
    <row r="5" spans="1:12" x14ac:dyDescent="0.3">
      <c r="A5" s="17">
        <v>3</v>
      </c>
      <c r="B5" s="18">
        <v>46275</v>
      </c>
      <c r="C5" s="19">
        <f>52-SUM(E$2:E5)</f>
        <v>39</v>
      </c>
      <c r="D5" s="20">
        <f t="shared" si="0"/>
        <v>39</v>
      </c>
      <c r="E5" s="20">
        <v>13</v>
      </c>
    </row>
    <row r="6" spans="1:12" x14ac:dyDescent="0.3">
      <c r="A6" s="17">
        <v>4</v>
      </c>
      <c r="B6" s="18">
        <v>46276</v>
      </c>
      <c r="C6" s="19">
        <f>52-SUM(E$2:E6)</f>
        <v>26</v>
      </c>
      <c r="D6" s="20">
        <f t="shared" si="0"/>
        <v>34.666666666666671</v>
      </c>
      <c r="E6" s="20">
        <v>13</v>
      </c>
    </row>
    <row r="7" spans="1:12" x14ac:dyDescent="0.3">
      <c r="A7" s="17">
        <v>5</v>
      </c>
      <c r="B7" s="18">
        <v>46279</v>
      </c>
      <c r="C7" s="19">
        <f>52-SUM(E$2:E7)</f>
        <v>26</v>
      </c>
      <c r="D7" s="20">
        <f t="shared" si="0"/>
        <v>30.333333333333329</v>
      </c>
      <c r="E7" s="20">
        <v>0</v>
      </c>
    </row>
    <row r="8" spans="1:12" x14ac:dyDescent="0.3">
      <c r="A8" s="17">
        <v>6</v>
      </c>
      <c r="B8" s="18">
        <v>46280</v>
      </c>
      <c r="C8" s="19">
        <f>52-SUM(E$2:E8)</f>
        <v>26</v>
      </c>
      <c r="D8" s="20">
        <f t="shared" si="0"/>
        <v>26</v>
      </c>
      <c r="E8" s="20">
        <v>0</v>
      </c>
    </row>
    <row r="9" spans="1:12" x14ac:dyDescent="0.3">
      <c r="A9" s="17">
        <v>7</v>
      </c>
      <c r="B9" s="18">
        <v>46281</v>
      </c>
      <c r="C9" s="19">
        <f>52-SUM(E$2:E9)</f>
        <v>26</v>
      </c>
      <c r="D9" s="20">
        <f t="shared" si="0"/>
        <v>21.666666666666664</v>
      </c>
      <c r="E9" s="20">
        <v>0</v>
      </c>
    </row>
    <row r="10" spans="1:12" x14ac:dyDescent="0.3">
      <c r="A10" s="17">
        <v>8</v>
      </c>
      <c r="B10" s="18">
        <v>46282</v>
      </c>
      <c r="C10" s="19">
        <f>52-SUM(E$2:E10)</f>
        <v>21</v>
      </c>
      <c r="D10" s="20">
        <f t="shared" si="0"/>
        <v>17.333333333333336</v>
      </c>
      <c r="E10" s="20">
        <v>5</v>
      </c>
    </row>
    <row r="11" spans="1:12" x14ac:dyDescent="0.3">
      <c r="A11" s="17">
        <v>9</v>
      </c>
      <c r="B11" s="18">
        <v>46283</v>
      </c>
      <c r="C11" s="19">
        <f>52-SUM(E$2:E11)</f>
        <v>16</v>
      </c>
      <c r="D11" s="20">
        <f t="shared" si="0"/>
        <v>13</v>
      </c>
      <c r="E11" s="20">
        <v>5</v>
      </c>
    </row>
    <row r="12" spans="1:12" x14ac:dyDescent="0.3">
      <c r="A12" s="17">
        <v>10</v>
      </c>
      <c r="B12" s="18">
        <v>46286</v>
      </c>
      <c r="C12" s="19">
        <f>52-SUM(E$2:E12)</f>
        <v>8</v>
      </c>
      <c r="D12" s="20">
        <f t="shared" si="0"/>
        <v>8.6666666666666643</v>
      </c>
      <c r="E12" s="20">
        <v>8</v>
      </c>
    </row>
    <row r="13" spans="1:12" x14ac:dyDescent="0.3">
      <c r="A13" s="17">
        <v>11</v>
      </c>
      <c r="B13" s="18">
        <v>46287</v>
      </c>
      <c r="C13" s="19">
        <f>52-SUM(E$2:E13)</f>
        <v>8</v>
      </c>
      <c r="D13" s="20">
        <f t="shared" si="0"/>
        <v>4.3333333333333357</v>
      </c>
      <c r="E13" s="20">
        <v>0</v>
      </c>
    </row>
    <row r="14" spans="1:12" x14ac:dyDescent="0.3">
      <c r="A14" s="17">
        <v>12</v>
      </c>
      <c r="B14" s="18">
        <v>46288</v>
      </c>
      <c r="C14" s="19">
        <f>52-SUM(E$2:E14)</f>
        <v>0</v>
      </c>
      <c r="D14" s="20">
        <f t="shared" si="0"/>
        <v>0</v>
      </c>
      <c r="E14" s="20">
        <v>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CD023-91C8-44AF-AB04-2727DDB868DE}">
  <dimension ref="A1:L5"/>
  <sheetViews>
    <sheetView zoomScale="76" zoomScaleNormal="76" workbookViewId="0">
      <selection activeCell="D3" sqref="D3"/>
    </sheetView>
  </sheetViews>
  <sheetFormatPr defaultRowHeight="14.4" x14ac:dyDescent="0.3"/>
  <cols>
    <col min="1" max="1" width="6.88671875" bestFit="1" customWidth="1"/>
    <col min="2" max="2" width="11" customWidth="1"/>
    <col min="3" max="3" width="8.33203125" bestFit="1" customWidth="1"/>
    <col min="4" max="4" width="7.33203125" bestFit="1" customWidth="1"/>
    <col min="5" max="5" width="7.88671875" bestFit="1" customWidth="1"/>
    <col min="6" max="6" width="82.88671875"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44.8" x14ac:dyDescent="0.3">
      <c r="A2" s="12">
        <v>5</v>
      </c>
      <c r="B2" s="12" t="s">
        <v>94</v>
      </c>
      <c r="C2" s="12"/>
      <c r="D2" s="12"/>
      <c r="E2" s="12" t="s">
        <v>31</v>
      </c>
      <c r="F2" s="13" t="s">
        <v>132</v>
      </c>
      <c r="G2" s="12" t="s">
        <v>24</v>
      </c>
      <c r="H2" s="12" t="s">
        <v>23</v>
      </c>
      <c r="I2" s="12">
        <v>2</v>
      </c>
      <c r="J2" s="12" t="s">
        <v>76</v>
      </c>
      <c r="K2" s="12"/>
      <c r="L2" s="12"/>
    </row>
    <row r="3" spans="1:12" ht="316.8" x14ac:dyDescent="0.3">
      <c r="A3" s="12">
        <v>6</v>
      </c>
      <c r="B3" s="12" t="s">
        <v>94</v>
      </c>
      <c r="C3" s="12"/>
      <c r="D3" s="12"/>
      <c r="E3" s="12" t="s">
        <v>22</v>
      </c>
      <c r="F3" s="13" t="s">
        <v>133</v>
      </c>
      <c r="G3" s="12" t="s">
        <v>24</v>
      </c>
      <c r="H3" s="12" t="s">
        <v>23</v>
      </c>
      <c r="I3" s="12">
        <v>2</v>
      </c>
      <c r="J3" s="12" t="s">
        <v>76</v>
      </c>
      <c r="K3" s="12"/>
      <c r="L3" s="12"/>
    </row>
    <row r="4" spans="1:12" ht="244.8" x14ac:dyDescent="0.3">
      <c r="A4" s="12">
        <v>7</v>
      </c>
      <c r="B4" s="12" t="s">
        <v>94</v>
      </c>
      <c r="C4" s="12"/>
      <c r="D4" s="12"/>
      <c r="E4" s="12" t="s">
        <v>31</v>
      </c>
      <c r="F4" s="13" t="s">
        <v>134</v>
      </c>
      <c r="G4" s="12" t="s">
        <v>24</v>
      </c>
      <c r="H4" s="12" t="s">
        <v>23</v>
      </c>
      <c r="I4" s="12">
        <v>2</v>
      </c>
      <c r="J4" s="12" t="s">
        <v>76</v>
      </c>
      <c r="K4" s="12"/>
      <c r="L4" s="12"/>
    </row>
    <row r="5" spans="1:12" ht="216" x14ac:dyDescent="0.3">
      <c r="A5" s="12">
        <v>8</v>
      </c>
      <c r="B5" s="12" t="s">
        <v>94</v>
      </c>
      <c r="C5" s="12"/>
      <c r="D5" s="12"/>
      <c r="E5" s="12" t="s">
        <v>22</v>
      </c>
      <c r="F5" s="13" t="s">
        <v>135</v>
      </c>
      <c r="G5" s="12" t="s">
        <v>24</v>
      </c>
      <c r="H5" s="12" t="s">
        <v>27</v>
      </c>
      <c r="I5" s="12">
        <v>3</v>
      </c>
      <c r="J5" s="12" t="s">
        <v>76</v>
      </c>
      <c r="K5" s="12"/>
      <c r="L5" s="1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D4A53-58DB-40BB-A13E-FB881A9A3A62}">
  <dimension ref="A1"/>
  <sheetViews>
    <sheetView tabSelected="1" workbookViewId="0">
      <selection activeCell="M24" sqref="M24"/>
    </sheetView>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Sprint 01</vt:lpstr>
      <vt:lpstr>Sprint 01 Burndown</vt:lpstr>
      <vt:lpstr>Sprint 02</vt:lpstr>
      <vt:lpstr>Sprint 02 Burndown</vt:lpstr>
      <vt:lpstr>Sprint 03</vt:lpstr>
      <vt:lpstr>Sprint 03 Burndown</vt:lpstr>
      <vt:lpstr>Sprint 04</vt:lpstr>
      <vt:lpstr>Sprint 04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2026-09-23T12:08:41Z</dcterms:modified>
</cp:coreProperties>
</file>