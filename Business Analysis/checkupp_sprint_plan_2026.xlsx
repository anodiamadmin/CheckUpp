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E5CB78D0-50AC-4087-955E-59A9E659A7A4}" xr6:coauthVersionLast="47" xr6:coauthVersionMax="47" xr10:uidLastSave="{00000000-0000-0000-0000-000000000000}"/>
  <bookViews>
    <workbookView xWindow="-108" yWindow="-108" windowWidth="23256" windowHeight="12456" activeTab="2"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6" l="1"/>
  <c r="D4" i="6"/>
  <c r="D5" i="6"/>
  <c r="D6" i="6"/>
  <c r="D7" i="6"/>
  <c r="D8" i="6"/>
  <c r="D9" i="6"/>
  <c r="D10" i="6"/>
  <c r="C10" i="6"/>
  <c r="C3" i="6"/>
  <c r="C4" i="6"/>
  <c r="C5" i="6"/>
  <c r="C6" i="6"/>
  <c r="C7" i="6"/>
  <c r="C8" i="6"/>
  <c r="C9" i="6"/>
  <c r="D2" i="6"/>
  <c r="C2" i="6"/>
  <c r="I17" i="5" a="1"/>
  <c r="I17" i="5" s="1"/>
  <c r="I15" i="5" a="1"/>
  <c r="I15" i="5" s="1"/>
  <c r="I16" i="5" a="1"/>
  <c r="I16" i="5" s="1"/>
  <c r="I14" i="5" a="1"/>
  <c r="I14" i="5" s="1"/>
  <c r="I13" i="5" a="1"/>
  <c r="I13" i="5" s="1"/>
  <c r="I8" i="5" a="1"/>
  <c r="I8" i="5" s="1"/>
  <c r="I3" i="5" a="1"/>
  <c r="I3" i="5" s="1"/>
  <c r="I4" i="5" a="1"/>
  <c r="I4" i="5" s="1"/>
  <c r="I5" i="5" a="1"/>
  <c r="I5" i="5" s="1"/>
  <c r="I6" i="5" a="1"/>
  <c r="I6" i="5" s="1"/>
  <c r="I7" i="5" a="1"/>
  <c r="I7" i="5" s="1"/>
  <c r="I9" i="5" a="1"/>
  <c r="I9" i="5" s="1"/>
  <c r="I10" i="5" a="1"/>
  <c r="I10" i="5" s="1"/>
  <c r="I11" i="5" a="1"/>
  <c r="I11" i="5" s="1"/>
  <c r="I12" i="5" a="1"/>
  <c r="I12" i="5" s="1"/>
  <c r="I113" i="5" a="1"/>
  <c r="I113" i="5" s="1"/>
  <c r="I112" i="5" a="1"/>
  <c r="I112" i="5" s="1"/>
  <c r="I111" i="5" a="1"/>
  <c r="I111" i="5" s="1"/>
  <c r="I110" i="5" a="1"/>
  <c r="I110" i="5" s="1"/>
  <c r="I109" i="5" a="1"/>
  <c r="I109" i="5" s="1"/>
  <c r="I108" i="5" a="1"/>
  <c r="I108" i="5" s="1"/>
  <c r="I107" i="5" a="1"/>
  <c r="I107" i="5" s="1"/>
  <c r="I106" i="5" a="1"/>
  <c r="I106" i="5" s="1"/>
  <c r="I105" i="5"/>
  <c r="I105" i="5" a="1"/>
  <c r="I104" i="5" a="1"/>
  <c r="I104" i="5" s="1"/>
  <c r="I103" i="5" a="1"/>
  <c r="I103" i="5" s="1"/>
  <c r="I102" i="5"/>
  <c r="I102" i="5" a="1"/>
  <c r="I101" i="5" a="1"/>
  <c r="I101" i="5" s="1"/>
  <c r="I100" i="5" a="1"/>
  <c r="I100" i="5" s="1"/>
  <c r="I99" i="5" a="1"/>
  <c r="I99" i="5" s="1"/>
  <c r="I98" i="5" a="1"/>
  <c r="I98" i="5" s="1"/>
  <c r="I97" i="5" a="1"/>
  <c r="I97" i="5" s="1"/>
  <c r="I96" i="5" a="1"/>
  <c r="I96" i="5" s="1"/>
  <c r="I95" i="5" a="1"/>
  <c r="I95" i="5" s="1"/>
  <c r="I94" i="5" a="1"/>
  <c r="I94" i="5" s="1"/>
  <c r="I93" i="5" a="1"/>
  <c r="I93" i="5" s="1"/>
  <c r="I92" i="5" a="1"/>
  <c r="I92" i="5" s="1"/>
  <c r="I91" i="5"/>
  <c r="I91" i="5" a="1"/>
  <c r="I90" i="5" a="1"/>
  <c r="I90" i="5" s="1"/>
  <c r="I89" i="5"/>
  <c r="I89" i="5" a="1"/>
  <c r="I88" i="5" a="1"/>
  <c r="I88" i="5" s="1"/>
  <c r="I87" i="5" a="1"/>
  <c r="I87" i="5" s="1"/>
  <c r="I86" i="5" a="1"/>
  <c r="I86" i="5" s="1"/>
  <c r="I85" i="5" a="1"/>
  <c r="I85" i="5" s="1"/>
  <c r="I84" i="5" a="1"/>
  <c r="I84" i="5" s="1"/>
  <c r="I83" i="5" a="1"/>
  <c r="I83" i="5" s="1"/>
  <c r="I82" i="5" a="1"/>
  <c r="I82" i="5" s="1"/>
  <c r="I81" i="5" a="1"/>
  <c r="I81" i="5" s="1"/>
  <c r="I80" i="5" a="1"/>
  <c r="I80" i="5" s="1"/>
  <c r="I79" i="5"/>
  <c r="I79" i="5" a="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c r="I37" i="5" a="1"/>
  <c r="I36" i="5" a="1"/>
  <c r="I36" i="5" s="1"/>
  <c r="I35" i="5" a="1"/>
  <c r="I35" i="5" s="1"/>
  <c r="I34" i="5" a="1"/>
  <c r="I34" i="5" s="1"/>
  <c r="I33" i="5" a="1"/>
  <c r="I33" i="5" s="1"/>
  <c r="I32" i="5" a="1"/>
  <c r="I32" i="5" s="1"/>
  <c r="I31" i="5" a="1"/>
  <c r="I31" i="5" s="1"/>
  <c r="I30" i="5" a="1"/>
  <c r="I30" i="5" s="1"/>
  <c r="I29" i="5" a="1"/>
  <c r="I29" i="5" s="1"/>
  <c r="I28" i="5" a="1"/>
  <c r="I28" i="5" s="1"/>
  <c r="I27" i="5" a="1"/>
  <c r="I27"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<sst xmlns="http://schemas.openxmlformats.org/spreadsheetml/2006/main" count="305" uniqueCount="118">
  <si>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</si>
  <si>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</si>
  <si>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</si>
  <si>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</si>
  <si>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</si>
  <si>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</si>
  <si>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</si>
  <si>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</si>
  <si>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</si>
  <si>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</si>
  <si>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</si>
  <si>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</si>
  <si>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</si>
  <si>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</si>
  <si>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</si>
  <si>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</si>
  <si>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</si>
  <si>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</si>
  <si>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</si>
  <si>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</si>
  <si>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</si>
  <si>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</si>
  <si>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</si>
  <si>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</si>
  <si>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</si>
  <si>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</si>
  <si>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</si>
  <si>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</si>
  <si>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</si>
  <si>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</si>
  <si>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</si>
  <si>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</si>
  <si>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</si>
  <si>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</si>
  <si>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</si>
  <si>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</si>
  <si>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</si>
  <si>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</si>
  <si>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</si>
  <si>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</si>
  <si>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</si>
  <si>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</si>
  <si>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</si>
  <si>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</si>
  <si>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</si>
  <si>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</si>
  <si>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</si>
  <si>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</si>
  <si>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</si>
  <si>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</si>
  <si>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</si>
  <si>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</si>
  <si>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</si>
  <si>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</si>
  <si>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</si>
  <si>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</si>
  <si>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</si>
  <si>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</si>
  <si>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</si>
  <si>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</si>
  <si>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</si>
  <si>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</si>
  <si>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</si>
  <si>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</si>
  <si>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</si>
  <si>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</si>
  <si>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</si>
  <si>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</si>
  <si>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</si>
  <si>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</si>
  <si>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</si>
  <si>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</si>
  <si>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</si>
  <si>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</si>
  <si>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</si>
  <si>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</si>
  <si>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Document Wallet - Documents</t>
  </si>
  <si>
    <t>Upload health documents</t>
  </si>
  <si>
    <t>Implement Document Picker &amp; Upload State Management
* **Target Files**:
* `checkupp-mobile-main/app/(tabs)/wallet.tsx`
* `checkupp-mobile-main/components/UploadModal.tsx`
* **Description**:
1. Integrate the `expo-document-picker` library into the Wallet screen to allow users to select single or multiple health documents (PDFs, images) from their local device.
2. Update the existing `UploadModal.tsx` to handle the selected file objects, validating file size and MIME types locally before initiating an upload.
3. Implement local UI state to show upload progress or a loading spinner (`checkupp-mobile-main/components/LoadingSpinner.tsx`) while files are being processed.
* **Acceptance Criteria Covered**: US 6.1 (AC 1)</t>
  </si>
  <si>
    <t>ToDo</t>
  </si>
  <si>
    <t>Integrate Document Upload API Mutations &amp; Notifications
* **Target Files**:
* `checkupp-mobile-main/lib/features/documents/mutations.ts`
* `checkupp-mobile-main/app/(tabs)/wallet.tsx`
 `checkupp-mobile-main/components/CustomToast.tsx`
* **Description**:
1. Review and utilize the existing mutation hooks in `mutations.ts` to handle the 3-step upload process defined by the backend:
* Call `/me/wallet/uploads/presign` to get an upload intent.
* Upload the raw file buffer to `/me/wallet/uploads/pending` using the `objectKey`.
* Call `/me/wallet/documents` to finalize the record in the database.
2. Wrap the upload logic in a robust `try/catch` block.
3. On success, trigger a confirmation message using the `CustomToast.tsx` component and invalidate the document list query to refresh the UI.
4. On failure, trigger an error toast ("Upload failed, please try again") and ensure the UI allows the user to retry the specific failed document without affecting successful ones.
* **Acceptance Criteria Covered**: US 6.1 (AC 2, 3, 4)</t>
  </si>
  <si>
    <t>Share health documents</t>
  </si>
  <si>
    <t>Implement Native Document Sharing
* **Target Files**:
* `checkupp-mobile-main/lib/utils/shareUtils.ts` (Existing or create new)
* `checkupp-mobile-main/app/(tabs)/wallet.tsx`
* **Description**:
1. Implement a reusable function utilizing `expo-file-system` to securely download the document from its URL to a temporary local cache directory (`FileSystem.cacheDirectory`).
2. Pass the local URI to `expo-sharing` (`Sharing.shareAsync()`) to trigger the device's native sharing drawer (WhatsApp, Email, etc.).
3. Wrap in a `try/catch` block. On error, display the specific toast: "Something went wrong, please try again."
* **Acceptance Criteria Covered**: US 6.2 (AC 1, 2, 3, 4)</t>
  </si>
  <si>
    <t>Delete health documents</t>
  </si>
  <si>
    <t>Implement Document Deletion Flow
* **Target Files**:
* `checkupp-mobile-main/app/(tabs)/wallet.tsx`
* `checkupp-mobile-main/lib/features/documents/mutations.ts`
* **Description**:
1. Connect the "Delete" option in the list item to a React Native `Alert.alert` to display the confirmation prompt: "Are you sure you want to delete this file?".
2. On confirmation, trigger the delete mutation (`DELETE /me/wallet/documents/:id`).
3. On success, invalidate the React Query cache to automatically remove the item from the list.
4. On failure, show the required error toast: "File could not be deleted, please try again", ensuring the item remains in the UI.
* **Acceptance Criteria Covered**: US 6.3 (AC 1, 2, 3, 4, 5)</t>
  </si>
  <si>
    <t>Document Wallet - Links</t>
  </si>
  <si>
    <t>Add e-script links</t>
  </si>
  <si>
    <t>Implement E-Script Link Submission Form
* **Target Files**:
* `checkupp-mobile-main/app/(tabs)/wallet.tsx`
* `checkupp-mobile-main/components/FormField.tsx`
* `checkupp-mobile-main/lib/features/documents/mutations.ts`
* **Description**:
1. Create a modal or inline form utilizing `FormField.tsx` to capture a URL and a text description.
2. Use `Yup` (already in `package.json`) to validate that the input is a properly formatted URL.
3. Create a React Query mutation invoking `POST /me/wallet/links` with the payload `{ title: description, documentType: "E-SCRIPT", link: url }`.
4. Handle errors with a toast: "Link could not be saved, Try again." On success, invalidate the links query.
* **Acceptance Criteria Covered**: US 7.1 (AC 1, 3)</t>
  </si>
  <si>
    <t>View e-script links</t>
  </si>
  <si>
    <t>7.3, 7.4</t>
  </si>
  <si>
    <t>Share and delete e-script links</t>
  </si>
  <si>
    <t>Implement Native Link Sharing &amp; Deletion
* **Target Files**:
* `checkupp-mobile-main/app/(tabs)/wallet.tsx`
* `checkupp-mobile-main/lib/utils/shareUtils.ts`
* **Description**:
1. **Sharing**: Implement the share button using React Native's built-in `Share.share({ message: \`${description}: ${url}` })` method to invoke native sharing for text/links. Handle errors with the "Something went wrong..." toast.
2. **Deletion**: Implement the delete flow using an `Alert.alert` ("Are you sure you want to delete this link?"). Hook it into the exact same delete mutation used for documents (`DELETE /me/wallet/documents/:id`). Handle errors with the "Link could not be deleted..." toast.
* **Acceptance Criteria Covered**: US 7.3 (AC 1, 2, 3, 4, 5), US 7.4 (AC 1, 2, 3, 4, 5)</t>
  </si>
  <si>
    <t>Global Backend Verification</t>
  </si>
  <si>
    <t>Wallet automated testing</t>
  </si>
  <si>
    <t>### Global Backend Verification Task
*Note: The backend codebase already contains full implementations for the Wallet logic in `wallet.controller.ts`, `wallet.service.ts`, and `wallet.validation.ts`. This task ensures complete alignment with the new ACs and prevents regressions.*
E2E Test Coverage for Wallet &amp; Link Actions
* **Target Files**:
* `checkupp-api-main/tests/modules/wallet/` (Directory to be created/populated)
* `checkupp-api-main/src/modules/wallet/wallet.validation.ts`
* **Description**:
1. Write Supertest/Jest integration tests for `POST /me/wallet/documents`, `POST /me/wallet/links`, and `DELETE /me/wallet/documents/:id`.
2. Verify that deletion securely handles `userId` scoping to prevent unauthorized deletion (tenant isolation).
3. Verify that `createLinkSchema` strictly requires a valid URI pattern and returns a 400 Bad Request if the format is invalid.
4. Verify that the `deleteDocument` service correctly unlinks the file from cloud storage using `cleanupUploadedFile` when a document is deleted.</t>
  </si>
  <si>
    <t xml:space="preserve"> Direct Document Download</t>
  </si>
  <si>
    <t>6.1, 6.6</t>
  </si>
  <si>
    <t>Document List View</t>
  </si>
  <si>
    <t>Implement Document List View
* **Target Files**:
* `checkupp-mobile-main/lib/features/documents/queries.ts`
* `checkupp-mobile-main/app/(tabs)/wallet.tsx`
* **Description**:
1. Ensure `queries.ts` correctly fetches from `GET /me/wallet/documents`.
2. Design and implement a modular `DocumentListItem` component within `wallet.tsx` to map over the fetched data, displaying the document name and upload date.
3. **Implement responsive card layout:**
* **Large Screens:** Display standalone icons for "Share" and "Download", plus a vertical three-dot (kebab) menu. Expanding the kebab menu reveals "View" and "Delete".
* **Small Screens (Edge Case):** Default to showing only the "Share" icon and the kebab menu. Expanding the menu reveals "View", "Download", and "Delete".
4. Implement `checkupp-mobile-main/components/EmptyState.tsx` if the query returns an empty array.
* **Acceptance Criteria Covered**: US 6.1 (AC 5, 6), US 6.6 (AC 1, 2, 3)</t>
  </si>
  <si>
    <t xml:space="preserve"> Document Viewer Integration</t>
  </si>
  <si>
    <t>Implement Document Viewer Integration
* **Target Files**:
* `checkupp-mobile-main/app/(tabs)/wallet.tsx`
* `checkupp-mobile-main/components/DocumentViewer.tsx`
* **Description**:
1. Wire up the "View" action from the document list to trigger the existing `DocumentViewer.tsx` component.
2. Pass the `externalUrl` or `publicUrl` of the document to the viewer.
3. Implement a fallback error boundary and toast notification ("Could not open file") if the URL is invalid or the device cannot render the file type.
4. **Enforce explicit removal:** Ensure the "Download" button is strictly removed or disabled within this view screen, as downloading is now an independent card action.
* **Acceptance Criteria Covered**: US 6.4 (AC 1, 2, 3)</t>
  </si>
  <si>
    <t>Implement Direct Document Download
* **Target Files**:
* `checkupp-mobile-main/app/(tabs)/wallet.tsx`
* `checkupp-mobile-main/lib/utils/fileUtils.ts` (Existing or create new)
* **Description**:
1. Implement a download handler triggered directly from the "Download" option on the document card (or within its expanded menu).
2. Utilize `expo-file-system` to securely fetch and save the document to the user's local device storage without requiring them to open it first.
3. On success, trigger a `CustomToast.tsx` message displaying: "Download complete".
4. On failure, trigger an error message prompting the user to try again.
* **Acceptance Criteria Covered**: US 6.5 (AC 1, 2, 3, 4)</t>
  </si>
  <si>
    <t>7.1, 7.2, 7.5</t>
  </si>
  <si>
    <t>* **Target Files**:
* `checkupp-mobile-main/app/(tabs)/wallet.tsx`
* `checkupp-mobile-main/lib/features/documents/queries.ts`
* **Description**:
1. Fetch the links using `GET /me/wallet/documents` filtered by `fileType=LINK` or `documentType=E-SCRIPT`.
2. Render the links with their title/description and creation date.
3. **Implement responsive card layout:**
* **Large Screens:** Display standalone buttons for "Share", "Open", and "Delete".
* **Small Screens (Edge Case):** Display only the "Share" icon alongside a Hamburger Menu (three vertically stacked dots). Expanding the menu reveals "Open" and "Delete".
4. Wire the "Open" action to open the link using `expo-web-browser` (`WebBrowser.openBrowserAsync`).
5. Wrap the view action in a `try/catch` returning the error toast: "Could not open Expanded View, try again".
* **Acceptance Criteria Covered**: US 7.1 (AC 2, 4, 5), US 7.2 (AC 1), US 7.5 (AC 1, 2, 3)</t>
  </si>
  <si>
    <t>Cardiovascular Reading</t>
  </si>
  <si>
    <t>Cardiovascular Camera Scanner UI &amp; Permission Handling</t>
  </si>
  <si>
    <t>Cardiovascular Camera Scanner UI &amp; Permission Handling
* **Target Files**:
* `checkupp-mobile-main/app/(tabs)/cardiovascular.tsx`
* `checkupp-mobile-main/components/camera/ScanMonitorModal.tsx`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 **Acceptance Criteria Covered**: US 19.3 (AC 1, 2, 3, 4, 7)</t>
  </si>
  <si>
    <t>OCR Processing, Frame Processor &amp; Form Auto-Fill</t>
  </si>
  <si>
    <t>Diabetes Test</t>
  </si>
  <si>
    <t>Single-Number OCR, Contextual Selection &amp; Auto-Fill</t>
  </si>
  <si>
    <t>Glucometer ML Kit Scanning &amp; Contextual Reading Modal
* **Target Files**:
* `checkupp-mobile-main/app/(tabs)/diabetes.tsx`
* `checkupp-mobile-main/components/camera/GlucometerScannerModal.tsx`
* `checkupp-mobile-main/components/ReadingTypeBottomSheet.tsx`
* **Description**:
1. Place a "Scan Glucometer" button prominently at the top of the Blood Glucose section in the Diabetes form.
2. Implement a focused scanner modal targeting single numbers (including decimals, e.g., 5.6 or 12.1) using regular expression matching.
3. Upon capturing the valid glucose value, display `ReadingTypeBottomSheet.tsx` asking: `"What type of reading is this?"` with options:
* Fasting Glucose
* Random Glucose
* Post-Meal Glucose
4. Inject the scanned number specifically into the selected option's field and close the bottom sheet.
5. Enforce human-in-the-loop confirmation where the user must manually tap "Save Reading" to commit to the backend.
6. Add the 10-second scanner timeout alert with manual fallback options.
* **Acceptance Criteria Covered**: US 20.3 - Glucometer (AC 1, 2, 3, 4, 5, 6, 7)</t>
  </si>
  <si>
    <t>Contrast Pre-Processing, Regex Extraction &amp; Auto-Fill</t>
  </si>
  <si>
    <t>Digital Weight Scale Camera Scanner with Image Pre-Processing
* **Target Files**:
* `checkupp-mobile-main/app/(tabs)/diabetes.tsx`
* `checkupp-mobile-main/components/camera/ScaleScannerModal.tsx`
* `checkupp-mobile-main/lib/utils/imageUtils.ts`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</si>
  <si>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Global Backend &amp; Validation Tasks</t>
  </si>
  <si>
    <t>Controller, Validation &amp; Database Schema</t>
  </si>
  <si>
    <t>Vitals &amp; Diabetes Measurement Ingestion Verification
* **Target Files**:
* `checkupp-api-main/src/modules/vitals/vitals.controller.ts`
* `checkupp-api-main/src/modules/vitals/vitals.validation.ts`
* `checkupp-api-main/tests/modules/vitals/vitals.test.ts`
* **Description**:
1. Ensure `vitals.validation.ts` accommodates auto-filled decimal and integer values strictly matching physiological sanity bounds (e.g., Systolic 50–250 mmHg, Weight 20–300 kg, Glucose 1–35 mmol/L or 20–600 mg/dL).
2. Write unit and integration tests verifying that incoming payloads from both manual entry and camera-scanned flows validate identically and save correctly to user history.
* **Acceptance Criteria Covered**: Cross-epic data integrity for US 19.3 &amp; US 20.3</t>
  </si>
  <si>
    <t>Alekhya &amp; Atish</t>
  </si>
  <si>
    <t>Blood Pressure ML Kit Extraction, Y-Coordinate Sorting &amp; Validation
* **Target Files**:
* `checkupp-mobile-main/lib/utils/ocrUtils.ts`
* `checkupp-mobile-main/components/camera/ScanMonitorModal.tsx`
* `checkupp-mobile-main/app/(tabs)/cardiovascular.tsx`
* **Description**: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Toast/Banner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</si>
</sst>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10">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0" fontId="0" fillId="9" borderId="1" xfId="0" applyFill="1" applyBorder="1" applyAlignment="1">
      <alignment horizontal="center" vertical="center" wrapText="1"/>
    </xf>
    <xf numFmtId="0" fontId="0" fillId="9" borderId="1" xfId="0"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54</c:v>
                </c:pt>
                <c:pt idx="1">
                  <c:v>54</c:v>
                </c:pt>
                <c:pt idx="2">
                  <c:v>54</c:v>
                </c:pt>
                <c:pt idx="3">
                  <c:v>54</c:v>
                </c:pt>
                <c:pt idx="4">
                  <c:v>54</c:v>
                </c:pt>
                <c:pt idx="5">
                  <c:v>54</c:v>
                </c:pt>
                <c:pt idx="6">
                  <c:v>54</c:v>
                </c:pt>
                <c:pt idx="7">
                  <c:v>54</c:v>
                </c:pt>
                <c:pt idx="8">
                  <c:v>54</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54</c:v>
                </c:pt>
                <c:pt idx="1">
                  <c:v>47.25</c:v>
                </c:pt>
                <c:pt idx="2">
                  <c:v>40.5</c:v>
                </c:pt>
                <c:pt idx="3">
                  <c:v>33.75</c:v>
                </c:pt>
                <c:pt idx="4">
                  <c:v>27</c:v>
                </c:pt>
                <c:pt idx="5">
                  <c:v>20.25</c:v>
                </c:pt>
                <c:pt idx="6">
                  <c:v>13.5</c:v>
                </c:pt>
                <c:pt idx="7">
                  <c:v>6.75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Q22" sqref="Q22"/>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13"/>
  <sheetViews>
    <sheetView tabSelected="1" topLeftCell="A15" workbookViewId="0">
      <selection activeCell="F14" sqref="F14"/>
    </sheetView>
  </sheetViews>
  <sheetFormatPr defaultRowHeight="14.4" x14ac:dyDescent="0.3"/>
  <cols>
    <col min="1" max="1" width="6.88671875" bestFit="1" customWidth="1"/>
    <col min="2" max="2" width="13.5546875" customWidth="1"/>
    <col min="3" max="3" width="7.6640625" customWidth="1"/>
    <col min="4" max="4" width="11.109375" customWidth="1"/>
    <col min="5" max="5" width="8.33203125" bestFit="1" customWidth="1"/>
    <col min="6" max="6" width="99.66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6" t="s">
        <v>11</v>
      </c>
      <c r="B1" s="6" t="s">
        <v>0</v>
      </c>
      <c r="C1" s="6" t="s">
        <v>1</v>
      </c>
      <c r="D1" s="6" t="s">
        <v>2</v>
      </c>
      <c r="E1" s="6" t="s">
        <v>10</v>
      </c>
      <c r="F1" s="6" t="s">
        <v>3</v>
      </c>
      <c r="G1" s="6" t="s">
        <v>4</v>
      </c>
      <c r="H1" s="6" t="s">
        <v>8</v>
      </c>
      <c r="I1" s="6" t="s">
        <v>9</v>
      </c>
      <c r="J1" s="6" t="s">
        <v>5</v>
      </c>
      <c r="K1" s="6" t="s">
        <v>6</v>
      </c>
      <c r="L1" s="6" t="s">
        <v>7</v>
      </c>
    </row>
    <row r="2" spans="1:12" ht="57" customHeight="1" x14ac:dyDescent="0.3">
      <c r="A2" s="15">
        <v>1</v>
      </c>
      <c r="B2" s="15" t="s">
        <v>76</v>
      </c>
      <c r="C2" s="15">
        <v>6.1</v>
      </c>
      <c r="D2" s="15" t="s">
        <v>77</v>
      </c>
      <c r="E2" s="15" t="s">
        <v>20</v>
      </c>
      <c r="F2" s="16" t="s">
        <v>78</v>
      </c>
      <c r="G2" s="15" t="s">
        <v>116</v>
      </c>
      <c r="H2" s="15" t="s">
        <v>27</v>
      </c>
      <c r="I2" s="15">
        <f t="array" ref="I2">_xlfn.SWITCH(H2,"XS",1,"S",2,"M",3,"L",5,"XL",8,"XXL",13,"XXXL",21,"")</f>
        <v>3</v>
      </c>
      <c r="J2" s="15" t="s">
        <v>79</v>
      </c>
      <c r="K2" s="15"/>
      <c r="L2" s="15"/>
    </row>
    <row r="3" spans="1:12" ht="244.8" x14ac:dyDescent="0.3">
      <c r="A3" s="15">
        <v>2</v>
      </c>
      <c r="B3" s="15" t="s">
        <v>76</v>
      </c>
      <c r="C3" s="15">
        <v>6.1</v>
      </c>
      <c r="D3" s="15" t="s">
        <v>77</v>
      </c>
      <c r="E3" s="15" t="s">
        <v>20</v>
      </c>
      <c r="F3" s="16" t="s">
        <v>80</v>
      </c>
      <c r="G3" s="15" t="s">
        <v>116</v>
      </c>
      <c r="H3" s="15" t="s">
        <v>30</v>
      </c>
      <c r="I3" s="15">
        <f t="array" ref="I3">_xlfn.SWITCH(H3,"XS",1,"S",2,"M",3,"L",5,"XL",8,"XXL",13,"XXXL",21,"")</f>
        <v>5</v>
      </c>
      <c r="J3" s="15" t="s">
        <v>79</v>
      </c>
      <c r="K3" s="15"/>
      <c r="L3" s="15"/>
    </row>
    <row r="4" spans="1:12" ht="216" x14ac:dyDescent="0.3">
      <c r="A4" s="15">
        <v>3</v>
      </c>
      <c r="B4" s="15" t="s">
        <v>76</v>
      </c>
      <c r="C4" s="15" t="s">
        <v>96</v>
      </c>
      <c r="D4" s="15" t="s">
        <v>97</v>
      </c>
      <c r="E4" s="15" t="s">
        <v>20</v>
      </c>
      <c r="F4" s="16" t="s">
        <v>98</v>
      </c>
      <c r="G4" s="15" t="s">
        <v>116</v>
      </c>
      <c r="H4" s="15" t="s">
        <v>27</v>
      </c>
      <c r="I4" s="15">
        <f t="array" ref="I4">_xlfn.SWITCH(H4,"XS",1,"S",2,"M",3,"L",5,"XL",8,"XXL",13,"XXXL",21,"")</f>
        <v>3</v>
      </c>
      <c r="J4" s="15" t="s">
        <v>79</v>
      </c>
      <c r="K4" s="15"/>
      <c r="L4" s="15"/>
    </row>
    <row r="5" spans="1:12" ht="172.8" x14ac:dyDescent="0.3">
      <c r="A5" s="15">
        <v>4</v>
      </c>
      <c r="B5" s="15" t="s">
        <v>76</v>
      </c>
      <c r="C5" s="15">
        <v>6.4</v>
      </c>
      <c r="D5" s="15" t="s">
        <v>99</v>
      </c>
      <c r="E5" s="15" t="s">
        <v>20</v>
      </c>
      <c r="F5" s="16" t="s">
        <v>100</v>
      </c>
      <c r="G5" s="15" t="s">
        <v>116</v>
      </c>
      <c r="H5" s="15" t="s">
        <v>27</v>
      </c>
      <c r="I5" s="15">
        <f t="array" ref="I5">_xlfn.SWITCH(H5,"XS",1,"S",2,"M",3,"L",5,"XL",8,"XXL",13,"XXXL",21,"")</f>
        <v>3</v>
      </c>
      <c r="J5" s="15" t="s">
        <v>79</v>
      </c>
      <c r="K5" s="15"/>
      <c r="L5" s="15"/>
    </row>
    <row r="6" spans="1:12" ht="158.4" x14ac:dyDescent="0.3">
      <c r="A6" s="15">
        <v>5</v>
      </c>
      <c r="B6" s="15" t="s">
        <v>76</v>
      </c>
      <c r="C6" s="15">
        <v>6.2</v>
      </c>
      <c r="D6" s="15" t="s">
        <v>81</v>
      </c>
      <c r="E6" s="15" t="s">
        <v>20</v>
      </c>
      <c r="F6" s="16" t="s">
        <v>82</v>
      </c>
      <c r="G6" s="15" t="s">
        <v>116</v>
      </c>
      <c r="H6" s="15" t="s">
        <v>27</v>
      </c>
      <c r="I6" s="15">
        <f t="array" ref="I6">_xlfn.SWITCH(H6,"XS",1,"S",2,"M",3,"L",5,"XL",8,"XXL",13,"XXXL",21,"")</f>
        <v>3</v>
      </c>
      <c r="J6" s="15" t="s">
        <v>79</v>
      </c>
      <c r="K6" s="15"/>
      <c r="L6" s="15"/>
    </row>
    <row r="7" spans="1:12" ht="172.8" x14ac:dyDescent="0.3">
      <c r="A7" s="15">
        <v>6</v>
      </c>
      <c r="B7" s="15" t="s">
        <v>76</v>
      </c>
      <c r="C7" s="15">
        <v>6.3</v>
      </c>
      <c r="D7" s="15" t="s">
        <v>83</v>
      </c>
      <c r="E7" s="15" t="s">
        <v>20</v>
      </c>
      <c r="F7" s="16" t="s">
        <v>84</v>
      </c>
      <c r="G7" s="15" t="s">
        <v>116</v>
      </c>
      <c r="H7" s="15" t="s">
        <v>23</v>
      </c>
      <c r="I7" s="15">
        <f t="array" ref="I7">_xlfn.SWITCH(H7,"XS",1,"S",2,"M",3,"L",5,"XL",8,"XXL",13,"XXXL",21,"")</f>
        <v>2</v>
      </c>
      <c r="J7" s="15" t="s">
        <v>79</v>
      </c>
      <c r="K7" s="15"/>
      <c r="L7" s="15"/>
    </row>
    <row r="8" spans="1:12" ht="99" customHeight="1" x14ac:dyDescent="0.3">
      <c r="A8" s="15">
        <v>7</v>
      </c>
      <c r="B8" s="15" t="s">
        <v>76</v>
      </c>
      <c r="C8" s="15">
        <v>6.5</v>
      </c>
      <c r="D8" s="15" t="s">
        <v>95</v>
      </c>
      <c r="E8" s="15" t="s">
        <v>20</v>
      </c>
      <c r="F8" s="16" t="s">
        <v>101</v>
      </c>
      <c r="G8" s="15" t="s">
        <v>116</v>
      </c>
      <c r="H8" s="15" t="s">
        <v>27</v>
      </c>
      <c r="I8" s="15">
        <f t="array" ref="I8">_xlfn.SWITCH(H8,"XS",1,"S",2,"M",3,"L",5,"XL",8,"XXL",13,"XXXL",21,"")</f>
        <v>3</v>
      </c>
      <c r="J8" s="15" t="s">
        <v>79</v>
      </c>
      <c r="K8" s="15"/>
      <c r="L8" s="15"/>
    </row>
    <row r="9" spans="1:12" ht="172.8" x14ac:dyDescent="0.3">
      <c r="A9" s="17">
        <v>8</v>
      </c>
      <c r="B9" s="17" t="s">
        <v>85</v>
      </c>
      <c r="C9" s="17">
        <v>7.1</v>
      </c>
      <c r="D9" s="17" t="s">
        <v>86</v>
      </c>
      <c r="E9" s="17" t="s">
        <v>20</v>
      </c>
      <c r="F9" s="18" t="s">
        <v>87</v>
      </c>
      <c r="G9" s="17" t="s">
        <v>116</v>
      </c>
      <c r="H9" s="17" t="s">
        <v>27</v>
      </c>
      <c r="I9" s="17">
        <f t="array" ref="I9">_xlfn.SWITCH(H9,"XS",1,"S",2,"M",3,"L",5,"XL",8,"XXL",13,"XXXL",21,"")</f>
        <v>3</v>
      </c>
      <c r="J9" s="17" t="s">
        <v>79</v>
      </c>
      <c r="K9" s="17"/>
      <c r="L9" s="17"/>
    </row>
    <row r="10" spans="1:12" ht="187.2" x14ac:dyDescent="0.3">
      <c r="A10" s="17">
        <v>9</v>
      </c>
      <c r="B10" s="17" t="s">
        <v>85</v>
      </c>
      <c r="C10" s="17" t="s">
        <v>102</v>
      </c>
      <c r="D10" s="17" t="s">
        <v>88</v>
      </c>
      <c r="E10" s="17" t="s">
        <v>20</v>
      </c>
      <c r="F10" s="18" t="s">
        <v>103</v>
      </c>
      <c r="G10" s="17" t="s">
        <v>116</v>
      </c>
      <c r="H10" s="17" t="s">
        <v>27</v>
      </c>
      <c r="I10" s="17">
        <f t="array" ref="I10">_xlfn.SWITCH(H10,"XS",1,"S",2,"M",3,"L",5,"XL",8,"XXL",13,"XXXL",21,"")</f>
        <v>3</v>
      </c>
      <c r="J10" s="17" t="s">
        <v>79</v>
      </c>
      <c r="K10" s="17"/>
      <c r="L10" s="17"/>
    </row>
    <row r="11" spans="1:12" ht="158.4" x14ac:dyDescent="0.3">
      <c r="A11" s="17">
        <v>10</v>
      </c>
      <c r="B11" s="17" t="s">
        <v>85</v>
      </c>
      <c r="C11" s="17" t="s">
        <v>89</v>
      </c>
      <c r="D11" s="17" t="s">
        <v>90</v>
      </c>
      <c r="E11" s="17" t="s">
        <v>20</v>
      </c>
      <c r="F11" s="18" t="s">
        <v>91</v>
      </c>
      <c r="G11" s="17" t="s">
        <v>116</v>
      </c>
      <c r="H11" s="17" t="s">
        <v>23</v>
      </c>
      <c r="I11" s="17">
        <f t="array" ref="I11">_xlfn.SWITCH(H11,"XS",1,"S",2,"M",3,"L",5,"XL",8,"XXL",13,"XXXL",21,"")</f>
        <v>2</v>
      </c>
      <c r="J11" s="17" t="s">
        <v>79</v>
      </c>
      <c r="K11" s="17"/>
      <c r="L11" s="17"/>
    </row>
    <row r="12" spans="1:12" ht="230.4" x14ac:dyDescent="0.3">
      <c r="A12" s="19">
        <v>11</v>
      </c>
      <c r="B12" s="19" t="s">
        <v>92</v>
      </c>
      <c r="C12" s="19"/>
      <c r="D12" s="19" t="s">
        <v>93</v>
      </c>
      <c r="E12" s="19" t="s">
        <v>22</v>
      </c>
      <c r="F12" s="20" t="s">
        <v>94</v>
      </c>
      <c r="G12" s="19" t="s">
        <v>116</v>
      </c>
      <c r="H12" s="19" t="s">
        <v>30</v>
      </c>
      <c r="I12" s="19">
        <f t="array" ref="I12">_xlfn.SWITCH(H12,"XS",1,"S",2,"M",3,"L",5,"XL",8,"XXL",13,"XXXL",21,"")</f>
        <v>5</v>
      </c>
      <c r="J12" s="19" t="s">
        <v>79</v>
      </c>
      <c r="K12" s="19"/>
      <c r="L12" s="19"/>
    </row>
    <row r="13" spans="1:12" ht="201.6" x14ac:dyDescent="0.3">
      <c r="A13" s="21">
        <v>12</v>
      </c>
      <c r="B13" s="21" t="s">
        <v>104</v>
      </c>
      <c r="C13" s="21">
        <v>19.3</v>
      </c>
      <c r="D13" s="21" t="s">
        <v>105</v>
      </c>
      <c r="E13" s="21" t="s">
        <v>20</v>
      </c>
      <c r="F13" s="22" t="s">
        <v>106</v>
      </c>
      <c r="G13" s="21" t="s">
        <v>24</v>
      </c>
      <c r="H13" s="21" t="s">
        <v>27</v>
      </c>
      <c r="I13" s="21">
        <f t="array" ref="I13">_xlfn.SWITCH(H13,"XS",1,"S",2,"M",3,"L",5,"XL",8,"XXL",13,"XXXL",21,"")</f>
        <v>3</v>
      </c>
      <c r="J13" s="21" t="s">
        <v>79</v>
      </c>
      <c r="K13" s="21"/>
      <c r="L13" s="21"/>
    </row>
    <row r="14" spans="1:12" ht="244.8" x14ac:dyDescent="0.3">
      <c r="A14" s="21">
        <v>13</v>
      </c>
      <c r="B14" s="21" t="s">
        <v>104</v>
      </c>
      <c r="C14" s="21">
        <v>19.3</v>
      </c>
      <c r="D14" s="21" t="s">
        <v>107</v>
      </c>
      <c r="E14" s="21" t="s">
        <v>20</v>
      </c>
      <c r="F14" s="22" t="s">
        <v>117</v>
      </c>
      <c r="G14" s="21" t="s">
        <v>24</v>
      </c>
      <c r="H14" s="21" t="s">
        <v>30</v>
      </c>
      <c r="I14" s="21">
        <f t="array" ref="I14">_xlfn.SWITCH(H14,"XS",1,"S",2,"M",3,"L",5,"XL",8,"XXL",13,"XXXL",21,"")</f>
        <v>5</v>
      </c>
      <c r="J14" s="21" t="s">
        <v>79</v>
      </c>
      <c r="K14" s="21"/>
      <c r="L14" s="21"/>
    </row>
    <row r="15" spans="1:12" ht="273.60000000000002" x14ac:dyDescent="0.3">
      <c r="A15" s="21">
        <v>14</v>
      </c>
      <c r="B15" s="21" t="s">
        <v>108</v>
      </c>
      <c r="C15" s="21">
        <v>20.3</v>
      </c>
      <c r="D15" s="21" t="s">
        <v>109</v>
      </c>
      <c r="E15" s="21" t="s">
        <v>20</v>
      </c>
      <c r="F15" s="22" t="s">
        <v>110</v>
      </c>
      <c r="G15" s="21" t="s">
        <v>24</v>
      </c>
      <c r="H15" s="21" t="s">
        <v>30</v>
      </c>
      <c r="I15" s="21">
        <f t="array" ref="I15">_xlfn.SWITCH(H15,"XS",1,"S",2,"M",3,"L",5,"XL",8,"XXL",13,"XXXL",21,"")</f>
        <v>5</v>
      </c>
      <c r="J15" s="21" t="s">
        <v>79</v>
      </c>
      <c r="K15" s="21"/>
      <c r="L15" s="21"/>
    </row>
    <row r="16" spans="1:12" ht="187.2" x14ac:dyDescent="0.3">
      <c r="A16" s="21">
        <v>15</v>
      </c>
      <c r="B16" s="21" t="s">
        <v>108</v>
      </c>
      <c r="C16" s="21">
        <v>20.3</v>
      </c>
      <c r="D16" s="21" t="s">
        <v>111</v>
      </c>
      <c r="E16" s="21" t="s">
        <v>20</v>
      </c>
      <c r="F16" s="22" t="s">
        <v>112</v>
      </c>
      <c r="G16" s="21" t="s">
        <v>24</v>
      </c>
      <c r="H16" s="21" t="s">
        <v>27</v>
      </c>
      <c r="I16" s="21">
        <f t="array" ref="I16">_xlfn.SWITCH(H16,"XS",1,"S",2,"M",3,"L",5,"XL",8,"XXL",13,"XXXL",21,"")</f>
        <v>3</v>
      </c>
      <c r="J16" s="21" t="s">
        <v>79</v>
      </c>
      <c r="K16" s="21"/>
      <c r="L16" s="21"/>
    </row>
    <row r="17" spans="1:12" ht="158.4" x14ac:dyDescent="0.3">
      <c r="A17" s="23">
        <v>16</v>
      </c>
      <c r="B17" s="23" t="s">
        <v>113</v>
      </c>
      <c r="C17" s="23"/>
      <c r="D17" s="23" t="s">
        <v>114</v>
      </c>
      <c r="E17" s="23" t="s">
        <v>22</v>
      </c>
      <c r="F17" s="24" t="s">
        <v>115</v>
      </c>
      <c r="G17" s="23" t="s">
        <v>24</v>
      </c>
      <c r="H17" s="23" t="s">
        <v>27</v>
      </c>
      <c r="I17" s="23">
        <f t="array" ref="I17">_xlfn.SWITCH(H17,"XS",1,"S",2,"M",3,"L",5,"XL",8,"XXL",13,"XXXL",21,"")</f>
        <v>3</v>
      </c>
      <c r="J17" s="23" t="s">
        <v>79</v>
      </c>
      <c r="K17" s="23"/>
      <c r="L17" s="23"/>
    </row>
    <row r="18" spans="1:12" x14ac:dyDescent="0.3">
      <c r="A18" s="8"/>
      <c r="B18" s="8"/>
      <c r="C18" s="8"/>
      <c r="D18" s="8"/>
      <c r="E18" s="8"/>
      <c r="F18" s="10"/>
      <c r="G18" s="8"/>
      <c r="H18" s="8"/>
      <c r="I18" s="8"/>
      <c r="J18" s="8"/>
      <c r="K18" s="8"/>
      <c r="L18" s="8"/>
    </row>
    <row r="19" spans="1:12" x14ac:dyDescent="0.3">
      <c r="A19" s="8"/>
      <c r="B19" s="8"/>
      <c r="C19" s="8"/>
      <c r="D19" s="8"/>
      <c r="E19" s="8"/>
      <c r="F19" s="10"/>
      <c r="G19" s="8"/>
      <c r="H19" s="8"/>
      <c r="I19" s="8"/>
      <c r="J19" s="8"/>
      <c r="K19" s="8"/>
      <c r="L19" s="8"/>
    </row>
    <row r="20" spans="1:12" x14ac:dyDescent="0.3">
      <c r="A20" s="8"/>
      <c r="B20" s="8"/>
      <c r="C20" s="8"/>
      <c r="D20" s="8"/>
      <c r="E20" s="8"/>
      <c r="F20" s="10"/>
      <c r="G20" s="8"/>
      <c r="H20" s="8"/>
      <c r="I20" s="8"/>
      <c r="J20" s="8"/>
      <c r="K20" s="8"/>
      <c r="L20" s="8"/>
    </row>
    <row r="21" spans="1:12" x14ac:dyDescent="0.3">
      <c r="A21" s="8"/>
      <c r="B21" s="8"/>
      <c r="C21" s="8"/>
      <c r="D21" s="8"/>
      <c r="E21" s="8"/>
      <c r="F21" s="10"/>
      <c r="G21" s="8"/>
      <c r="H21" s="8"/>
      <c r="I21" s="8"/>
      <c r="J21" s="8"/>
      <c r="K21" s="8"/>
      <c r="L21" s="8"/>
    </row>
    <row r="22" spans="1:12" x14ac:dyDescent="0.3">
      <c r="A22" s="8"/>
      <c r="B22" s="8"/>
      <c r="C22" s="8"/>
      <c r="D22" s="8"/>
      <c r="E22" s="8"/>
      <c r="F22" s="10"/>
      <c r="G22" s="8"/>
      <c r="H22" s="8"/>
      <c r="I22" s="8"/>
      <c r="J22" s="8"/>
      <c r="K22" s="8"/>
      <c r="L22" s="8"/>
    </row>
    <row r="23" spans="1:12" x14ac:dyDescent="0.3">
      <c r="A23" s="8"/>
      <c r="B23" s="8"/>
      <c r="C23" s="8"/>
      <c r="D23" s="8"/>
      <c r="E23" s="8"/>
      <c r="F23" s="10"/>
      <c r="G23" s="8"/>
      <c r="H23" s="8"/>
      <c r="I23" s="8"/>
      <c r="J23" s="8"/>
      <c r="K23" s="8"/>
      <c r="L23" s="8"/>
    </row>
    <row r="24" spans="1:12" x14ac:dyDescent="0.3">
      <c r="A24" s="8"/>
      <c r="B24" s="8"/>
      <c r="C24" s="8"/>
      <c r="D24" s="8"/>
      <c r="E24" s="8"/>
      <c r="F24" s="10"/>
      <c r="G24" s="8"/>
      <c r="H24" s="8"/>
      <c r="I24" s="8"/>
      <c r="J24" s="8"/>
      <c r="K24" s="8"/>
      <c r="L24" s="8"/>
    </row>
    <row r="25" spans="1:12" x14ac:dyDescent="0.3">
      <c r="A25" s="8"/>
      <c r="B25" s="8"/>
      <c r="C25" s="8"/>
      <c r="D25" s="8"/>
      <c r="E25" s="8"/>
      <c r="F25" s="10"/>
      <c r="G25" s="8"/>
      <c r="H25" s="8"/>
      <c r="I25" s="8"/>
      <c r="J25" s="8"/>
      <c r="K25" s="8"/>
      <c r="L25" s="8"/>
    </row>
    <row r="26" spans="1:12" x14ac:dyDescent="0.3">
      <c r="A26" s="8"/>
      <c r="B26" s="8"/>
      <c r="C26" s="8"/>
      <c r="D26" s="8"/>
      <c r="E26" s="8"/>
      <c r="F26" s="10"/>
      <c r="G26" s="8"/>
      <c r="H26" s="8"/>
      <c r="I26" s="8"/>
      <c r="J26" s="8"/>
      <c r="K26" s="8"/>
      <c r="L26" s="8"/>
    </row>
    <row r="27" spans="1:12" x14ac:dyDescent="0.3">
      <c r="A27" s="8"/>
      <c r="B27" s="8"/>
      <c r="C27" s="8"/>
      <c r="D27" s="8"/>
      <c r="E27" s="8"/>
      <c r="F27" s="10"/>
      <c r="G27" s="8"/>
      <c r="H27" s="8"/>
      <c r="I27" s="8" t="str">
        <f t="array" ref="I27">_xlfn.SWITCH(H27,"XS",1,"S",2,"M",3,"L",5,"XL",8,"XXL",13,"XXXL",21,"")</f>
        <v/>
      </c>
      <c r="J27" s="8"/>
      <c r="K27" s="8"/>
      <c r="L27" s="8"/>
    </row>
    <row r="28" spans="1:12" x14ac:dyDescent="0.3">
      <c r="A28" s="8"/>
      <c r="B28" s="8"/>
      <c r="C28" s="8"/>
      <c r="D28" s="8"/>
      <c r="E28" s="8"/>
      <c r="F28" s="10"/>
      <c r="G28" s="8"/>
      <c r="H28" s="8"/>
      <c r="I28" s="8" t="str">
        <f t="array" ref="I28">_xlfn.SWITCH(H28,"XS",1,"S",2,"M",3,"L",5,"XL",8,"XXL",13,"XXXL",21,"")</f>
        <v/>
      </c>
      <c r="J28" s="8"/>
      <c r="K28" s="8"/>
      <c r="L28" s="8"/>
    </row>
    <row r="29" spans="1:12" x14ac:dyDescent="0.3">
      <c r="A29" s="8"/>
      <c r="B29" s="8"/>
      <c r="C29" s="8"/>
      <c r="D29" s="8"/>
      <c r="E29" s="8"/>
      <c r="F29" s="10"/>
      <c r="G29" s="8"/>
      <c r="H29" s="8"/>
      <c r="I29" s="8" t="str">
        <f t="array" ref="I29">_xlfn.SWITCH(H29,"XS",1,"S",2,"M",3,"L",5,"XL",8,"XXL",13,"XXXL",21,"")</f>
        <v/>
      </c>
      <c r="J29" s="8"/>
      <c r="K29" s="8"/>
      <c r="L29" s="8"/>
    </row>
    <row r="30" spans="1:12" x14ac:dyDescent="0.3">
      <c r="A30" s="8"/>
      <c r="B30" s="8"/>
      <c r="C30" s="8"/>
      <c r="D30" s="8"/>
      <c r="E30" s="8"/>
      <c r="F30" s="10"/>
      <c r="G30" s="8"/>
      <c r="H30" s="8"/>
      <c r="I30" s="8" t="str">
        <f t="array" ref="I30">_xlfn.SWITCH(H30,"XS",1,"S",2,"M",3,"L",5,"XL",8,"XXL",13,"XXXL",21,"")</f>
        <v/>
      </c>
      <c r="J30" s="8"/>
      <c r="K30" s="8"/>
      <c r="L30" s="8"/>
    </row>
    <row r="31" spans="1:12" x14ac:dyDescent="0.3">
      <c r="A31" s="8"/>
      <c r="B31" s="8"/>
      <c r="C31" s="8"/>
      <c r="D31" s="8"/>
      <c r="E31" s="8"/>
      <c r="F31" s="10"/>
      <c r="G31" s="8"/>
      <c r="H31" s="8"/>
      <c r="I31" s="8" t="str">
        <f t="array" ref="I31">_xlfn.SWITCH(H31,"XS",1,"S",2,"M",3,"L",5,"XL",8,"XXL",13,"XXXL",21,"")</f>
        <v/>
      </c>
      <c r="J31" s="8"/>
      <c r="K31" s="8"/>
      <c r="L31" s="8"/>
    </row>
    <row r="32" spans="1:12" x14ac:dyDescent="0.3">
      <c r="A32" s="8"/>
      <c r="B32" s="8"/>
      <c r="C32" s="8"/>
      <c r="D32" s="8"/>
      <c r="E32" s="8"/>
      <c r="F32" s="10"/>
      <c r="G32" s="8"/>
      <c r="H32" s="8"/>
      <c r="I32" s="8" t="str">
        <f t="array" ref="I32">_xlfn.SWITCH(H32,"XS",1,"S",2,"M",3,"L",5,"XL",8,"XXL",13,"XXXL",21,"")</f>
        <v/>
      </c>
      <c r="J32" s="8"/>
      <c r="K32" s="8"/>
      <c r="L32" s="8"/>
    </row>
    <row r="33" spans="1:12" x14ac:dyDescent="0.3">
      <c r="A33" s="8"/>
      <c r="B33" s="8"/>
      <c r="C33" s="8"/>
      <c r="D33" s="8"/>
      <c r="E33" s="8"/>
      <c r="F33" s="10"/>
      <c r="G33" s="8"/>
      <c r="H33" s="8"/>
      <c r="I33" s="8" t="str">
        <f t="array" ref="I33">_xlfn.SWITCH(H33,"XS",1,"S",2,"M",3,"L",5,"XL",8,"XXL",13,"XXXL",21,"")</f>
        <v/>
      </c>
      <c r="J33" s="8"/>
      <c r="K33" s="8"/>
      <c r="L33" s="8"/>
    </row>
    <row r="34" spans="1:12" x14ac:dyDescent="0.3">
      <c r="A34" s="8"/>
      <c r="B34" s="8"/>
      <c r="C34" s="8"/>
      <c r="D34" s="8"/>
      <c r="E34" s="8"/>
      <c r="F34" s="7"/>
      <c r="G34" s="8"/>
      <c r="H34" s="8"/>
      <c r="I34" s="8" t="str">
        <f t="array" ref="I34">_xlfn.SWITCH(H34,"XS",1,"S",2,"M",3,"L",5,"XL",8,"XXL",13,"XXXL",21,"")</f>
        <v/>
      </c>
      <c r="J34" s="8"/>
      <c r="K34" s="8"/>
      <c r="L34" s="8"/>
    </row>
    <row r="35" spans="1:12" x14ac:dyDescent="0.3">
      <c r="A35" s="8"/>
      <c r="B35" s="8"/>
      <c r="C35" s="8"/>
      <c r="D35" s="8"/>
      <c r="E35" s="8"/>
      <c r="F35" s="9"/>
      <c r="G35" s="8"/>
      <c r="H35" s="8"/>
      <c r="I35" s="8" t="str">
        <f t="array" ref="I35">_xlfn.SWITCH(H35,"XS",1,"S",2,"M",3,"L",5,"XL",8,"XXL",13,"XXXL",21,"")</f>
        <v/>
      </c>
      <c r="J35" s="8"/>
      <c r="K35" s="8"/>
      <c r="L35" s="8"/>
    </row>
    <row r="36" spans="1:12" x14ac:dyDescent="0.3">
      <c r="A36" s="8"/>
      <c r="B36" s="8"/>
      <c r="C36" s="8"/>
      <c r="D36" s="8"/>
      <c r="E36" s="8"/>
      <c r="F36" s="9"/>
      <c r="G36" s="8"/>
      <c r="H36" s="8"/>
      <c r="I36" s="8" t="str">
        <f t="array" ref="I36">_xlfn.SWITCH(H36,"XS",1,"S",2,"M",3,"L",5,"XL",8,"XXL",13,"XXXL",21,"")</f>
        <v/>
      </c>
      <c r="J36" s="8"/>
      <c r="K36" s="8"/>
      <c r="L36" s="8"/>
    </row>
    <row r="37" spans="1:12" x14ac:dyDescent="0.3">
      <c r="A37" s="8"/>
      <c r="B37" s="8"/>
      <c r="C37" s="8"/>
      <c r="D37" s="8"/>
      <c r="E37" s="8"/>
      <c r="F37" s="9"/>
      <c r="G37" s="8"/>
      <c r="H37" s="8"/>
      <c r="I37" s="8" t="str">
        <f t="array" ref="I37">_xlfn.SWITCH(H37,"XS",1,"S",2,"M",3,"L",5,"XL",8,"XXL",13,"XXXL",21,"")</f>
        <v/>
      </c>
      <c r="J37" s="8"/>
      <c r="K37" s="8"/>
      <c r="L37" s="8"/>
    </row>
    <row r="38" spans="1:12" x14ac:dyDescent="0.3">
      <c r="A38" s="8"/>
      <c r="B38" s="8"/>
      <c r="C38" s="8"/>
      <c r="D38" s="8"/>
      <c r="E38" s="8"/>
      <c r="F38" s="9"/>
      <c r="G38" s="8"/>
      <c r="H38" s="8"/>
      <c r="I38" s="8" t="str">
        <f t="array" ref="I38">_xlfn.SWITCH(H38,"XS",1,"S",2,"M",3,"L",5,"XL",8,"XXL",13,"XXXL",21,"")</f>
        <v/>
      </c>
      <c r="J38" s="8"/>
      <c r="K38" s="8"/>
      <c r="L38" s="8"/>
    </row>
    <row r="39" spans="1:12" x14ac:dyDescent="0.3">
      <c r="A39" s="8"/>
      <c r="B39" s="8"/>
      <c r="C39" s="8"/>
      <c r="D39" s="8"/>
      <c r="E39" s="8"/>
      <c r="F39" s="9"/>
      <c r="G39" s="8"/>
      <c r="H39" s="8"/>
      <c r="I39" s="8" t="str">
        <f t="array" ref="I39">_xlfn.SWITCH(H39,"XS",1,"S",2,"M",3,"L",5,"XL",8,"XXL",13,"XXXL",21,"")</f>
        <v/>
      </c>
      <c r="J39" s="8"/>
      <c r="K39" s="8"/>
      <c r="L39" s="8"/>
    </row>
    <row r="40" spans="1:12" x14ac:dyDescent="0.3">
      <c r="A40" s="8"/>
      <c r="B40" s="8"/>
      <c r="C40" s="8"/>
      <c r="D40" s="8"/>
      <c r="E40" s="8"/>
      <c r="F40" s="9"/>
      <c r="G40" s="8"/>
      <c r="H40" s="8"/>
      <c r="I40" s="8" t="str">
        <f t="array" ref="I40">_xlfn.SWITCH(H40,"XS",1,"S",2,"M",3,"L",5,"XL",8,"XXL",13,"XXXL",21,"")</f>
        <v/>
      </c>
      <c r="J40" s="8"/>
      <c r="K40" s="8"/>
      <c r="L40" s="8"/>
    </row>
    <row r="41" spans="1:12" x14ac:dyDescent="0.3">
      <c r="A41" s="8"/>
      <c r="B41" s="8"/>
      <c r="C41" s="8"/>
      <c r="D41" s="8"/>
      <c r="E41" s="8"/>
      <c r="F41" s="9"/>
      <c r="G41" s="8"/>
      <c r="H41" s="8"/>
      <c r="I41" s="8" t="str">
        <f t="array" ref="I41">_xlfn.SWITCH(H41,"XS",1,"S",2,"M",3,"L",5,"XL",8,"XXL",13,"XXXL",21,"")</f>
        <v/>
      </c>
      <c r="J41" s="8"/>
      <c r="K41" s="8"/>
      <c r="L41" s="8"/>
    </row>
    <row r="42" spans="1:12" x14ac:dyDescent="0.3">
      <c r="A42" s="8"/>
      <c r="B42" s="8"/>
      <c r="C42" s="8"/>
      <c r="D42" s="8"/>
      <c r="E42" s="8"/>
      <c r="F42" s="9"/>
      <c r="G42" s="8"/>
      <c r="H42" s="8"/>
      <c r="I42" s="8" t="str">
        <f t="array" ref="I42">_xlfn.SWITCH(H42,"XS",1,"S",2,"M",3,"L",5,"XL",8,"XXL",13,"XXXL",21,"")</f>
        <v/>
      </c>
      <c r="J42" s="8"/>
      <c r="K42" s="8"/>
      <c r="L42" s="8"/>
    </row>
    <row r="43" spans="1:12" x14ac:dyDescent="0.3">
      <c r="A43" s="8"/>
      <c r="B43" s="8"/>
      <c r="C43" s="8"/>
      <c r="D43" s="8"/>
      <c r="E43" s="8"/>
      <c r="F43" s="9"/>
      <c r="G43" s="8"/>
      <c r="H43" s="8"/>
      <c r="I43" s="8" t="str">
        <f t="array" ref="I43">_xlfn.SWITCH(H43,"XS",1,"S",2,"M",3,"L",5,"XL",8,"XXL",13,"XXXL",21,"")</f>
        <v/>
      </c>
      <c r="J43" s="8"/>
      <c r="K43" s="8"/>
      <c r="L43" s="8"/>
    </row>
    <row r="44" spans="1:12" x14ac:dyDescent="0.3">
      <c r="A44" s="8"/>
      <c r="B44" s="8"/>
      <c r="C44" s="8"/>
      <c r="D44" s="8"/>
      <c r="E44" s="8"/>
      <c r="F44" s="9"/>
      <c r="G44" s="8"/>
      <c r="H44" s="8"/>
      <c r="I44" s="8" t="str">
        <f t="array" ref="I44">_xlfn.SWITCH(H44,"XS",1,"S",2,"M",3,"L",5,"XL",8,"XXL",13,"XXXL",21,"")</f>
        <v/>
      </c>
      <c r="J44" s="8"/>
      <c r="K44" s="8"/>
      <c r="L44" s="8"/>
    </row>
    <row r="45" spans="1:12" x14ac:dyDescent="0.3">
      <c r="A45" s="8"/>
      <c r="B45" s="8"/>
      <c r="C45" s="8"/>
      <c r="D45" s="8"/>
      <c r="E45" s="8"/>
      <c r="F45" s="9"/>
      <c r="G45" s="8"/>
      <c r="H45" s="8"/>
      <c r="I45" s="8" t="str">
        <f t="array" ref="I45">_xlfn.SWITCH(H45,"XS",1,"S",2,"M",3,"L",5,"XL",8,"XXL",13,"XXXL",21,"")</f>
        <v/>
      </c>
      <c r="J45" s="8"/>
      <c r="K45" s="8"/>
      <c r="L45" s="8"/>
    </row>
    <row r="46" spans="1:12" x14ac:dyDescent="0.3">
      <c r="A46" s="8"/>
      <c r="B46" s="8"/>
      <c r="C46" s="8"/>
      <c r="D46" s="8"/>
      <c r="E46" s="8"/>
      <c r="F46" s="9"/>
      <c r="G46" s="8"/>
      <c r="H46" s="8"/>
      <c r="I46" s="8" t="str">
        <f t="array" ref="I46">_xlfn.SWITCH(H46,"XS",1,"S",2,"M",3,"L",5,"XL",8,"XXL",13,"XXXL",21,"")</f>
        <v/>
      </c>
      <c r="J46" s="8"/>
      <c r="K46" s="8"/>
      <c r="L46" s="8"/>
    </row>
    <row r="47" spans="1:12" x14ac:dyDescent="0.3">
      <c r="A47" s="8"/>
      <c r="B47" s="8"/>
      <c r="C47" s="8"/>
      <c r="D47" s="8"/>
      <c r="E47" s="8"/>
      <c r="F47" s="9"/>
      <c r="G47" s="8"/>
      <c r="H47" s="8"/>
      <c r="I47" s="8" t="str">
        <f t="array" ref="I47">_xlfn.SWITCH(H47,"XS",1,"S",2,"M",3,"L",5,"XL",8,"XXL",13,"XXXL",21,"")</f>
        <v/>
      </c>
      <c r="J47" s="8"/>
      <c r="K47" s="8"/>
      <c r="L47" s="8"/>
    </row>
    <row r="48" spans="1:12" x14ac:dyDescent="0.3">
      <c r="A48" s="8"/>
      <c r="B48" s="8"/>
      <c r="C48" s="8"/>
      <c r="D48" s="8"/>
      <c r="E48" s="8"/>
      <c r="F48" s="9"/>
      <c r="G48" s="8"/>
      <c r="H48" s="8"/>
      <c r="I48" s="8" t="str">
        <f t="array" ref="I48">_xlfn.SWITCH(H48,"XS",1,"S",2,"M",3,"L",5,"XL",8,"XXL",13,"XXXL",21,"")</f>
        <v/>
      </c>
      <c r="J48" s="8"/>
      <c r="K48" s="8"/>
      <c r="L48" s="8"/>
    </row>
    <row r="49" spans="1:12" x14ac:dyDescent="0.3">
      <c r="A49" s="8"/>
      <c r="B49" s="8"/>
      <c r="C49" s="8"/>
      <c r="D49" s="8"/>
      <c r="E49" s="8"/>
      <c r="F49" s="9"/>
      <c r="G49" s="8"/>
      <c r="H49" s="8"/>
      <c r="I49" s="8" t="str">
        <f t="array" ref="I49">_xlfn.SWITCH(H49,"XS",1,"S",2,"M",3,"L",5,"XL",8,"XXL",13,"XXXL",21,"")</f>
        <v/>
      </c>
      <c r="J49" s="8"/>
      <c r="K49" s="8"/>
      <c r="L49" s="8"/>
    </row>
    <row r="50" spans="1:12" x14ac:dyDescent="0.3">
      <c r="A50" s="8"/>
      <c r="B50" s="8"/>
      <c r="C50" s="8"/>
      <c r="D50" s="8"/>
      <c r="E50" s="8"/>
      <c r="F50" s="9"/>
      <c r="G50" s="8"/>
      <c r="H50" s="8"/>
      <c r="I50" s="8" t="str">
        <f t="array" ref="I50">_xlfn.SWITCH(H50,"XS",1,"S",2,"M",3,"L",5,"XL",8,"XXL",13,"XXXL",21,"")</f>
        <v/>
      </c>
      <c r="J50" s="8"/>
      <c r="K50" s="8"/>
      <c r="L50" s="8"/>
    </row>
    <row r="51" spans="1:12" x14ac:dyDescent="0.3">
      <c r="A51" s="8"/>
      <c r="B51" s="8"/>
      <c r="C51" s="8"/>
      <c r="D51" s="8"/>
      <c r="E51" s="8"/>
      <c r="F51" s="9"/>
      <c r="G51" s="8"/>
      <c r="H51" s="8"/>
      <c r="I51" s="8" t="str">
        <f t="array" ref="I51">_xlfn.SWITCH(H51,"XS",1,"S",2,"M",3,"L",5,"XL",8,"XXL",13,"XXXL",21,"")</f>
        <v/>
      </c>
      <c r="J51" s="8"/>
      <c r="K51" s="8"/>
      <c r="L51" s="8"/>
    </row>
    <row r="52" spans="1:12" x14ac:dyDescent="0.3">
      <c r="A52" s="8"/>
      <c r="B52" s="8"/>
      <c r="C52" s="8"/>
      <c r="D52" s="8"/>
      <c r="E52" s="8"/>
      <c r="F52" s="10"/>
      <c r="G52" s="8"/>
      <c r="H52" s="8"/>
      <c r="I52" s="8" t="str">
        <f t="array" ref="I52">_xlfn.SWITCH(H52,"XS",1,"S",2,"M",3,"L",5,"XL",8,"XXL",13,"XXXL",21,"")</f>
        <v/>
      </c>
      <c r="J52" s="8"/>
      <c r="K52" s="8"/>
      <c r="L52" s="8"/>
    </row>
    <row r="53" spans="1:12" x14ac:dyDescent="0.3">
      <c r="A53" s="8"/>
      <c r="B53" s="8"/>
      <c r="C53" s="8"/>
      <c r="D53" s="8"/>
      <c r="E53" s="8"/>
      <c r="F53" s="10"/>
      <c r="G53" s="8"/>
      <c r="H53" s="8"/>
      <c r="I53" s="8" t="str">
        <f t="array" ref="I53">_xlfn.SWITCH(H53,"XS",1,"S",2,"M",3,"L",5,"XL",8,"XXL",13,"XXXL",21,"")</f>
        <v/>
      </c>
      <c r="J53" s="8"/>
      <c r="K53" s="8"/>
      <c r="L53" s="8"/>
    </row>
    <row r="54" spans="1:12" x14ac:dyDescent="0.3">
      <c r="A54" s="8"/>
      <c r="B54" s="8"/>
      <c r="C54" s="8"/>
      <c r="D54" s="8"/>
      <c r="E54" s="8"/>
      <c r="F54" s="10"/>
      <c r="G54" s="8"/>
      <c r="H54" s="8"/>
      <c r="I54" s="8" t="str">
        <f t="array" ref="I54">_xlfn.SWITCH(H54,"XS",1,"S",2,"M",3,"L",5,"XL",8,"XXL",13,"XXXL",21,"")</f>
        <v/>
      </c>
      <c r="J54" s="8"/>
      <c r="K54" s="8"/>
      <c r="L54" s="8"/>
    </row>
    <row r="55" spans="1:12" x14ac:dyDescent="0.3">
      <c r="A55" s="8"/>
      <c r="B55" s="8"/>
      <c r="C55" s="8"/>
      <c r="D55" s="8"/>
      <c r="E55" s="8"/>
      <c r="F55" s="10"/>
      <c r="G55" s="8"/>
      <c r="H55" s="8"/>
      <c r="I55" s="8" t="str">
        <f t="array" ref="I55">_xlfn.SWITCH(H55,"XS",1,"S",2,"M",3,"L",5,"XL",8,"XXL",13,"XXXL",21,"")</f>
        <v/>
      </c>
      <c r="J55" s="8"/>
      <c r="K55" s="8"/>
      <c r="L55" s="8"/>
    </row>
    <row r="56" spans="1:12" x14ac:dyDescent="0.3">
      <c r="A56" s="8"/>
      <c r="B56" s="8"/>
      <c r="C56" s="8"/>
      <c r="D56" s="8"/>
      <c r="E56" s="8"/>
      <c r="F56" s="10"/>
      <c r="G56" s="8"/>
      <c r="H56" s="8"/>
      <c r="I56" s="8" t="str">
        <f t="array" ref="I56">_xlfn.SWITCH(H56,"XS",1,"S",2,"M",3,"L",5,"XL",8,"XXL",13,"XXXL",21,"")</f>
        <v/>
      </c>
      <c r="J56" s="8"/>
      <c r="K56" s="8"/>
      <c r="L56" s="8"/>
    </row>
    <row r="57" spans="1:12" x14ac:dyDescent="0.3">
      <c r="A57" s="8"/>
      <c r="B57" s="8"/>
      <c r="C57" s="8"/>
      <c r="D57" s="8"/>
      <c r="E57" s="8"/>
      <c r="F57" s="10"/>
      <c r="G57" s="8"/>
      <c r="H57" s="8"/>
      <c r="I57" s="8" t="str">
        <f t="array" ref="I57">_xlfn.SWITCH(H57,"XS",1,"S",2,"M",3,"L",5,"XL",8,"XXL",13,"XXXL",21,"")</f>
        <v/>
      </c>
      <c r="J57" s="8"/>
      <c r="K57" s="8"/>
      <c r="L57" s="8"/>
    </row>
    <row r="58" spans="1:12" x14ac:dyDescent="0.3">
      <c r="A58" s="8"/>
      <c r="B58" s="8"/>
      <c r="C58" s="8"/>
      <c r="D58" s="8"/>
      <c r="E58" s="8"/>
      <c r="F58" s="9"/>
      <c r="G58" s="8"/>
      <c r="H58" s="8"/>
      <c r="I58" s="8" t="str">
        <f t="array" ref="I58">_xlfn.SWITCH(H58,"XS",1,"S",2,"M",3,"L",5,"XL",8,"XXL",13,"XXXL",21,"")</f>
        <v/>
      </c>
      <c r="J58" s="8"/>
      <c r="K58" s="8"/>
      <c r="L58" s="8"/>
    </row>
    <row r="59" spans="1:12" x14ac:dyDescent="0.3">
      <c r="A59" s="8"/>
      <c r="B59" s="8"/>
      <c r="C59" s="8"/>
      <c r="D59" s="8"/>
      <c r="E59" s="8"/>
      <c r="F59" s="9"/>
      <c r="G59" s="8"/>
      <c r="H59" s="8"/>
      <c r="I59" s="8" t="str">
        <f t="array" ref="I59">_xlfn.SWITCH(H59,"XS",1,"S",2,"M",3,"L",5,"XL",8,"XXL",13,"XXXL",21,"")</f>
        <v/>
      </c>
      <c r="J59" s="8"/>
      <c r="K59" s="8"/>
      <c r="L59" s="8"/>
    </row>
    <row r="60" spans="1:12" x14ac:dyDescent="0.3">
      <c r="A60" s="8"/>
      <c r="B60" s="8"/>
      <c r="C60" s="8"/>
      <c r="D60" s="8"/>
      <c r="E60" s="8"/>
      <c r="F60" s="9"/>
      <c r="G60" s="8"/>
      <c r="H60" s="8"/>
      <c r="I60" s="8" t="str">
        <f t="array" ref="I60">_xlfn.SWITCH(H60,"XS",1,"S",2,"M",3,"L",5,"XL",8,"XXL",13,"XXXL",21,"")</f>
        <v/>
      </c>
      <c r="J60" s="8"/>
      <c r="K60" s="8"/>
      <c r="L60" s="8"/>
    </row>
    <row r="61" spans="1:12" x14ac:dyDescent="0.3">
      <c r="A61" s="8"/>
      <c r="B61" s="8"/>
      <c r="C61" s="8"/>
      <c r="D61" s="8"/>
      <c r="E61" s="8"/>
      <c r="F61" s="9"/>
      <c r="G61" s="8"/>
      <c r="H61" s="8"/>
      <c r="I61" s="8" t="str">
        <f t="array" ref="I61">_xlfn.SWITCH(H61,"XS",1,"S",2,"M",3,"L",5,"XL",8,"XXL",13,"XXXL",21,"")</f>
        <v/>
      </c>
      <c r="J61" s="8"/>
      <c r="K61" s="8"/>
      <c r="L61" s="8"/>
    </row>
    <row r="62" spans="1:12" x14ac:dyDescent="0.3">
      <c r="A62" s="8"/>
      <c r="B62" s="8"/>
      <c r="C62" s="8"/>
      <c r="D62" s="8"/>
      <c r="E62" s="8"/>
      <c r="F62" s="9"/>
      <c r="G62" s="8"/>
      <c r="H62" s="8"/>
      <c r="I62" s="8" t="str">
        <f t="array" ref="I62">_xlfn.SWITCH(H62,"XS",1,"S",2,"M",3,"L",5,"XL",8,"XXL",13,"XXXL",21,"")</f>
        <v/>
      </c>
      <c r="J62" s="8"/>
      <c r="K62" s="8"/>
      <c r="L62" s="8"/>
    </row>
    <row r="63" spans="1:12" x14ac:dyDescent="0.3">
      <c r="A63" s="8"/>
      <c r="B63" s="8"/>
      <c r="C63" s="8"/>
      <c r="D63" s="8"/>
      <c r="E63" s="8"/>
      <c r="F63" s="9"/>
      <c r="G63" s="8"/>
      <c r="H63" s="8"/>
      <c r="I63" s="8" t="str">
        <f t="array" ref="I63">_xlfn.SWITCH(H63,"XS",1,"S",2,"M",3,"L",5,"XL",8,"XXL",13,"XXXL",21,"")</f>
        <v/>
      </c>
      <c r="J63" s="8"/>
      <c r="K63" s="8"/>
      <c r="L63" s="8"/>
    </row>
    <row r="64" spans="1:12" x14ac:dyDescent="0.3">
      <c r="A64" s="8"/>
      <c r="B64" s="8"/>
      <c r="C64" s="8"/>
      <c r="D64" s="8"/>
      <c r="E64" s="8"/>
      <c r="F64" s="9"/>
      <c r="G64" s="8"/>
      <c r="H64" s="8"/>
      <c r="I64" s="8" t="str">
        <f t="array" ref="I64">_xlfn.SWITCH(H64,"XS",1,"S",2,"M",3,"L",5,"XL",8,"XXL",13,"XXXL",21,"")</f>
        <v/>
      </c>
      <c r="J64" s="8"/>
      <c r="K64" s="8"/>
      <c r="L64" s="8"/>
    </row>
    <row r="65" spans="1:12" x14ac:dyDescent="0.3">
      <c r="A65" s="8"/>
      <c r="B65" s="8"/>
      <c r="C65" s="8"/>
      <c r="D65" s="8"/>
      <c r="E65" s="8"/>
      <c r="F65" s="9"/>
      <c r="G65" s="8"/>
      <c r="H65" s="8"/>
      <c r="I65" s="8" t="str">
        <f t="array" ref="I65">_xlfn.SWITCH(H65,"XS",1,"S",2,"M",3,"L",5,"XL",8,"XXL",13,"XXXL",21,"")</f>
        <v/>
      </c>
      <c r="J65" s="8"/>
      <c r="K65" s="8"/>
      <c r="L65" s="8"/>
    </row>
    <row r="66" spans="1:12" x14ac:dyDescent="0.3">
      <c r="A66" s="8"/>
      <c r="B66" s="8"/>
      <c r="C66" s="8"/>
      <c r="D66" s="8"/>
      <c r="E66" s="8"/>
      <c r="F66" s="9"/>
      <c r="G66" s="8"/>
      <c r="H66" s="8"/>
      <c r="I66" s="8" t="str">
        <f t="array" ref="I66">_xlfn.SWITCH(H66,"XS",1,"S",2,"M",3,"L",5,"XL",8,"XXL",13,"XXXL",21,"")</f>
        <v/>
      </c>
      <c r="J66" s="8"/>
      <c r="K66" s="8"/>
      <c r="L66" s="8"/>
    </row>
    <row r="67" spans="1:12" x14ac:dyDescent="0.3">
      <c r="A67" s="8"/>
      <c r="B67" s="8"/>
      <c r="C67" s="8"/>
      <c r="D67" s="8"/>
      <c r="E67" s="8"/>
      <c r="F67" s="9"/>
      <c r="G67" s="8"/>
      <c r="H67" s="8"/>
      <c r="I67" s="8" t="str">
        <f t="array" ref="I67">_xlfn.SWITCH(H67,"XS",1,"S",2,"M",3,"L",5,"XL",8,"XXL",13,"XXXL",21,"")</f>
        <v/>
      </c>
      <c r="J67" s="8"/>
      <c r="K67" s="8"/>
      <c r="L67" s="8"/>
    </row>
    <row r="68" spans="1:12" x14ac:dyDescent="0.3">
      <c r="A68" s="8"/>
      <c r="B68" s="8"/>
      <c r="C68" s="8"/>
      <c r="D68" s="8"/>
      <c r="E68" s="8"/>
      <c r="F68" s="9"/>
      <c r="G68" s="8"/>
      <c r="H68" s="8"/>
      <c r="I68" s="8" t="str">
        <f t="array" ref="I68">_xlfn.SWITCH(H68,"XS",1,"S",2,"M",3,"L",5,"XL",8,"XXL",13,"XXXL",21,"")</f>
        <v/>
      </c>
      <c r="J68" s="8"/>
      <c r="K68" s="8"/>
      <c r="L68" s="8"/>
    </row>
    <row r="69" spans="1:12" x14ac:dyDescent="0.3">
      <c r="A69" s="8"/>
      <c r="B69" s="8"/>
      <c r="C69" s="8"/>
      <c r="D69" s="8"/>
      <c r="E69" s="8"/>
      <c r="F69" s="7"/>
      <c r="G69" s="8"/>
      <c r="H69" s="8"/>
      <c r="I69" s="8" t="str">
        <f t="array" ref="I69">_xlfn.SWITCH(H69,"XS",1,"S",2,"M",3,"L",5,"XL",8,"XXL",13,"XXXL",21,"")</f>
        <v/>
      </c>
      <c r="J69" s="8"/>
      <c r="K69" s="8"/>
      <c r="L69" s="8"/>
    </row>
    <row r="70" spans="1:12" x14ac:dyDescent="0.3">
      <c r="A70" s="8"/>
      <c r="B70" s="8"/>
      <c r="C70" s="8"/>
      <c r="D70" s="8"/>
      <c r="E70" s="8"/>
      <c r="F70" s="9"/>
      <c r="G70" s="8"/>
      <c r="H70" s="8"/>
      <c r="I70" s="8" t="str">
        <f t="array" ref="I70">_xlfn.SWITCH(H70,"XS",1,"S",2,"M",3,"L",5,"XL",8,"XXL",13,"XXXL",21,"")</f>
        <v/>
      </c>
      <c r="J70" s="8"/>
      <c r="K70" s="8"/>
      <c r="L70" s="8"/>
    </row>
    <row r="71" spans="1:12" x14ac:dyDescent="0.3">
      <c r="A71" s="8"/>
      <c r="B71" s="8"/>
      <c r="C71" s="8"/>
      <c r="D71" s="8"/>
      <c r="E71" s="8"/>
      <c r="F71" s="7"/>
      <c r="G71" s="8"/>
      <c r="H71" s="8"/>
      <c r="I71" s="8" t="str">
        <f t="array" ref="I71">_xlfn.SWITCH(H71,"XS",1,"S",2,"M",3,"L",5,"XL",8,"XXL",13,"XXXL",21,"")</f>
        <v/>
      </c>
      <c r="J71" s="8"/>
      <c r="K71" s="8"/>
      <c r="L71" s="8"/>
    </row>
    <row r="72" spans="1:12" x14ac:dyDescent="0.3">
      <c r="A72" s="8"/>
      <c r="B72" s="8"/>
      <c r="C72" s="8"/>
      <c r="D72" s="8"/>
      <c r="E72" s="8"/>
      <c r="F72" s="7"/>
      <c r="G72" s="8"/>
      <c r="H72" s="8"/>
      <c r="I72" s="8" t="str">
        <f t="array" ref="I72">_xlfn.SWITCH(H72,"XS",1,"S",2,"M",3,"L",5,"XL",8,"XXL",13,"XXXL",21,"")</f>
        <v/>
      </c>
      <c r="J72" s="8"/>
      <c r="K72" s="8"/>
      <c r="L72" s="8"/>
    </row>
    <row r="73" spans="1:12" x14ac:dyDescent="0.3">
      <c r="A73" s="8"/>
      <c r="B73" s="8"/>
      <c r="C73" s="8"/>
      <c r="D73" s="8"/>
      <c r="E73" s="8"/>
      <c r="F73" s="9"/>
      <c r="G73" s="8"/>
      <c r="H73" s="8"/>
      <c r="I73" s="8" t="str">
        <f t="array" ref="I73">_xlfn.SWITCH(H73,"XS",1,"S",2,"M",3,"L",5,"XL",8,"XXL",13,"XXXL",21,"")</f>
        <v/>
      </c>
      <c r="J73" s="8"/>
      <c r="K73" s="8"/>
      <c r="L73" s="8"/>
    </row>
    <row r="74" spans="1:12" x14ac:dyDescent="0.3">
      <c r="A74" s="8"/>
      <c r="B74" s="8"/>
      <c r="C74" s="8"/>
      <c r="D74" s="8"/>
      <c r="E74" s="8"/>
      <c r="F74" s="9"/>
      <c r="G74" s="8"/>
      <c r="H74" s="8"/>
      <c r="I74" s="8" t="str">
        <f t="array" ref="I74">_xlfn.SWITCH(H74,"XS",1,"S",2,"M",3,"L",5,"XL",8,"XXL",13,"XXXL",21,"")</f>
        <v/>
      </c>
      <c r="J74" s="8"/>
      <c r="K74" s="8"/>
      <c r="L74" s="8"/>
    </row>
    <row r="75" spans="1:12" x14ac:dyDescent="0.3">
      <c r="A75" s="8"/>
      <c r="B75" s="8"/>
      <c r="C75" s="8"/>
      <c r="D75" s="8"/>
      <c r="E75" s="8"/>
      <c r="F75" s="9"/>
      <c r="G75" s="8"/>
      <c r="H75" s="8"/>
      <c r="I75" s="8" t="str">
        <f t="array" ref="I75">_xlfn.SWITCH(H75,"XS",1,"S",2,"M",3,"L",5,"XL",8,"XXL",13,"XXXL",21,"")</f>
        <v/>
      </c>
      <c r="J75" s="8"/>
      <c r="K75" s="8"/>
      <c r="L75" s="8"/>
    </row>
    <row r="76" spans="1:12" x14ac:dyDescent="0.3">
      <c r="A76" s="8"/>
      <c r="B76" s="8"/>
      <c r="C76" s="8"/>
      <c r="D76" s="8"/>
      <c r="E76" s="8"/>
      <c r="F76" s="9"/>
      <c r="G76" s="8"/>
      <c r="H76" s="8"/>
      <c r="I76" s="8" t="str">
        <f t="array" ref="I76">_xlfn.SWITCH(H76,"XS",1,"S",2,"M",3,"L",5,"XL",8,"XXL",13,"XXXL",21,"")</f>
        <v/>
      </c>
      <c r="J76" s="8"/>
      <c r="K76" s="8"/>
      <c r="L76" s="8"/>
    </row>
    <row r="77" spans="1:12" x14ac:dyDescent="0.3">
      <c r="A77" s="8"/>
      <c r="B77" s="8"/>
      <c r="C77" s="8"/>
      <c r="D77" s="8"/>
      <c r="E77" s="8"/>
      <c r="F77" s="9"/>
      <c r="G77" s="8"/>
      <c r="H77" s="8"/>
      <c r="I77" s="8" t="str">
        <f t="array" ref="I77">_xlfn.SWITCH(H77,"XS",1,"S",2,"M",3,"L",5,"XL",8,"XXL",13,"XXXL",21,"")</f>
        <v/>
      </c>
      <c r="J77" s="8"/>
      <c r="K77" s="8"/>
      <c r="L77" s="8"/>
    </row>
    <row r="78" spans="1:12" x14ac:dyDescent="0.3">
      <c r="A78" s="8"/>
      <c r="B78" s="8"/>
      <c r="C78" s="8"/>
      <c r="D78" s="8"/>
      <c r="E78" s="8"/>
      <c r="F78" s="10"/>
      <c r="G78" s="8"/>
      <c r="H78" s="8"/>
      <c r="I78" s="8" t="str">
        <f t="array" ref="I78">_xlfn.SWITCH(H78,"XS",1,"S",2,"M",3,"L",5,"XL",8,"XXL",13,"XXXL",21,"")</f>
        <v/>
      </c>
      <c r="J78" s="8"/>
      <c r="K78" s="8"/>
      <c r="L78" s="8"/>
    </row>
    <row r="79" spans="1:12" x14ac:dyDescent="0.3">
      <c r="A79" s="8"/>
      <c r="B79" s="8"/>
      <c r="C79" s="8"/>
      <c r="D79" s="8"/>
      <c r="E79" s="8"/>
      <c r="F79" s="10"/>
      <c r="G79" s="8"/>
      <c r="H79" s="8"/>
      <c r="I79" s="8" t="str">
        <f t="array" ref="I79">_xlfn.SWITCH(H79,"XS",1,"S",2,"M",3,"L",5,"XL",8,"XXL",13,"XXXL",21,"")</f>
        <v/>
      </c>
      <c r="J79" s="8"/>
      <c r="K79" s="8"/>
      <c r="L79" s="8"/>
    </row>
    <row r="80" spans="1:12" x14ac:dyDescent="0.3">
      <c r="A80" s="8"/>
      <c r="B80" s="8"/>
      <c r="C80" s="8"/>
      <c r="D80" s="8"/>
      <c r="E80" s="8"/>
      <c r="F80" s="10"/>
      <c r="G80" s="8"/>
      <c r="H80" s="8"/>
      <c r="I80" s="8" t="str">
        <f t="array" ref="I80">_xlfn.SWITCH(H80,"XS",1,"S",2,"M",3,"L",5,"XL",8,"XXL",13,"XXXL",21,"")</f>
        <v/>
      </c>
      <c r="J80" s="8"/>
      <c r="K80" s="8"/>
      <c r="L80" s="8"/>
    </row>
    <row r="81" spans="1:12" x14ac:dyDescent="0.3">
      <c r="A81" s="8"/>
      <c r="B81" s="8"/>
      <c r="C81" s="8"/>
      <c r="D81" s="8"/>
      <c r="E81" s="8"/>
      <c r="F81" s="10"/>
      <c r="G81" s="8"/>
      <c r="H81" s="8"/>
      <c r="I81" s="8" t="str">
        <f t="array" ref="I81">_xlfn.SWITCH(H81,"XS",1,"S",2,"M",3,"L",5,"XL",8,"XXL",13,"XXXL",21,"")</f>
        <v/>
      </c>
      <c r="J81" s="8"/>
      <c r="K81" s="8"/>
      <c r="L81" s="8"/>
    </row>
    <row r="82" spans="1:12" x14ac:dyDescent="0.3">
      <c r="A82" s="8"/>
      <c r="B82" s="8"/>
      <c r="C82" s="8"/>
      <c r="D82" s="8"/>
      <c r="E82" s="8"/>
      <c r="F82" s="10"/>
      <c r="G82" s="8"/>
      <c r="H82" s="8"/>
      <c r="I82" s="8" t="str">
        <f t="array" ref="I82">_xlfn.SWITCH(H82,"XS",1,"S",2,"M",3,"L",5,"XL",8,"XXL",13,"XXXL",21,"")</f>
        <v/>
      </c>
      <c r="J82" s="8"/>
      <c r="K82" s="8"/>
      <c r="L82" s="8"/>
    </row>
    <row r="83" spans="1:12" x14ac:dyDescent="0.3">
      <c r="A83" s="8"/>
      <c r="B83" s="8"/>
      <c r="C83" s="8"/>
      <c r="D83" s="8"/>
      <c r="E83" s="8"/>
      <c r="F83" s="10"/>
      <c r="G83" s="8"/>
      <c r="H83" s="8"/>
      <c r="I83" s="8" t="str">
        <f t="array" ref="I83">_xlfn.SWITCH(H83,"XS",1,"S",2,"M",3,"L",5,"XL",8,"XXL",13,"XXXL",21,"")</f>
        <v/>
      </c>
      <c r="J83" s="8"/>
      <c r="K83" s="8"/>
      <c r="L83" s="8"/>
    </row>
    <row r="84" spans="1:12" x14ac:dyDescent="0.3">
      <c r="A84" s="8"/>
      <c r="B84" s="8"/>
      <c r="C84" s="8"/>
      <c r="D84" s="8"/>
      <c r="E84" s="8"/>
      <c r="F84" s="10"/>
      <c r="G84" s="8"/>
      <c r="H84" s="8"/>
      <c r="I84" s="8" t="str">
        <f t="array" ref="I84">_xlfn.SWITCH(H84,"XS",1,"S",2,"M",3,"L",5,"XL",8,"XXL",13,"XXXL",21,"")</f>
        <v/>
      </c>
      <c r="J84" s="8"/>
      <c r="K84" s="8"/>
      <c r="L84" s="8"/>
    </row>
    <row r="85" spans="1:12" x14ac:dyDescent="0.3">
      <c r="A85" s="8"/>
      <c r="B85" s="8"/>
      <c r="C85" s="8"/>
      <c r="D85" s="8"/>
      <c r="E85" s="8"/>
      <c r="F85" s="10"/>
      <c r="G85" s="8"/>
      <c r="H85" s="8"/>
      <c r="I85" s="8" t="str">
        <f t="array" ref="I85">_xlfn.SWITCH(H85,"XS",1,"S",2,"M",3,"L",5,"XL",8,"XXL",13,"XXXL",21,"")</f>
        <v/>
      </c>
      <c r="J85" s="8"/>
      <c r="K85" s="8"/>
      <c r="L85" s="8"/>
    </row>
    <row r="86" spans="1:12" x14ac:dyDescent="0.3">
      <c r="A86" s="8"/>
      <c r="B86" s="8"/>
      <c r="C86" s="8"/>
      <c r="D86" s="8"/>
      <c r="E86" s="8"/>
      <c r="F86" s="10"/>
      <c r="G86" s="8"/>
      <c r="H86" s="8"/>
      <c r="I86" s="8" t="str">
        <f t="array" ref="I86">_xlfn.SWITCH(H86,"XS",1,"S",2,"M",3,"L",5,"XL",8,"XXL",13,"XXXL",21,"")</f>
        <v/>
      </c>
      <c r="J86" s="8"/>
      <c r="K86" s="8"/>
      <c r="L86" s="8"/>
    </row>
    <row r="87" spans="1:12" x14ac:dyDescent="0.3">
      <c r="A87" s="8"/>
      <c r="B87" s="8"/>
      <c r="C87" s="8"/>
      <c r="D87" s="8"/>
      <c r="E87" s="8"/>
      <c r="F87" s="10"/>
      <c r="G87" s="8"/>
      <c r="H87" s="8"/>
      <c r="I87" s="8" t="str">
        <f t="array" ref="I87">_xlfn.SWITCH(H87,"XS",1,"S",2,"M",3,"L",5,"XL",8,"XXL",13,"XXXL",21,"")</f>
        <v/>
      </c>
      <c r="J87" s="8"/>
      <c r="K87" s="8"/>
      <c r="L87" s="8"/>
    </row>
    <row r="88" spans="1:12" x14ac:dyDescent="0.3">
      <c r="A88" s="8"/>
      <c r="B88" s="8"/>
      <c r="C88" s="8"/>
      <c r="D88" s="8"/>
      <c r="E88" s="8"/>
      <c r="F88" s="10"/>
      <c r="G88" s="8"/>
      <c r="H88" s="8"/>
      <c r="I88" s="8" t="str">
        <f t="array" ref="I88">_xlfn.SWITCH(H88,"XS",1,"S",2,"M",3,"L",5,"XL",8,"XXL",13,"XXXL",21,"")</f>
        <v/>
      </c>
      <c r="J88" s="8"/>
      <c r="K88" s="8"/>
      <c r="L88" s="8"/>
    </row>
    <row r="89" spans="1:12" x14ac:dyDescent="0.3">
      <c r="A89" s="8"/>
      <c r="B89" s="8"/>
      <c r="C89" s="8"/>
      <c r="D89" s="8"/>
      <c r="E89" s="8"/>
      <c r="F89" s="10"/>
      <c r="G89" s="8"/>
      <c r="H89" s="8"/>
      <c r="I89" s="8" t="str">
        <f t="array" ref="I89">_xlfn.SWITCH(H89,"XS",1,"S",2,"M",3,"L",5,"XL",8,"XXL",13,"XXXL",21,"")</f>
        <v/>
      </c>
      <c r="J89" s="8"/>
      <c r="K89" s="8"/>
      <c r="L89" s="8"/>
    </row>
    <row r="90" spans="1:12" x14ac:dyDescent="0.3">
      <c r="A90" s="8"/>
      <c r="B90" s="8"/>
      <c r="C90" s="8"/>
      <c r="D90" s="8"/>
      <c r="E90" s="8"/>
      <c r="F90" s="10"/>
      <c r="G90" s="8"/>
      <c r="H90" s="8"/>
      <c r="I90" s="8" t="str">
        <f t="array" ref="I90">_xlfn.SWITCH(H90,"XS",1,"S",2,"M",3,"L",5,"XL",8,"XXL",13,"XXXL",21,"")</f>
        <v/>
      </c>
      <c r="J90" s="8"/>
      <c r="K90" s="8"/>
      <c r="L90" s="8"/>
    </row>
    <row r="91" spans="1:12" x14ac:dyDescent="0.3">
      <c r="A91" s="8"/>
      <c r="B91" s="8"/>
      <c r="C91" s="8"/>
      <c r="D91" s="8"/>
      <c r="E91" s="8"/>
      <c r="F91" s="10"/>
      <c r="G91" s="8"/>
      <c r="H91" s="8"/>
      <c r="I91" s="8" t="str">
        <f t="array" ref="I91">_xlfn.SWITCH(H91,"XS",1,"S",2,"M",3,"L",5,"XL",8,"XXL",13,"XXXL",21,"")</f>
        <v/>
      </c>
      <c r="J91" s="8"/>
      <c r="K91" s="8"/>
      <c r="L91" s="8"/>
    </row>
    <row r="92" spans="1:12" x14ac:dyDescent="0.3">
      <c r="A92" s="8"/>
      <c r="B92" s="8"/>
      <c r="C92" s="8"/>
      <c r="D92" s="8"/>
      <c r="E92" s="8"/>
      <c r="F92" s="10"/>
      <c r="G92" s="8"/>
      <c r="H92" s="8"/>
      <c r="I92" s="8" t="str">
        <f t="array" ref="I92">_xlfn.SWITCH(H92,"XS",1,"S",2,"M",3,"L",5,"XL",8,"XXL",13,"XXXL",21,"")</f>
        <v/>
      </c>
      <c r="J92" s="8"/>
      <c r="K92" s="8"/>
      <c r="L92" s="8"/>
    </row>
    <row r="93" spans="1:12" x14ac:dyDescent="0.3">
      <c r="A93" s="8"/>
      <c r="B93" s="8"/>
      <c r="C93" s="8"/>
      <c r="D93" s="8"/>
      <c r="E93" s="8"/>
      <c r="F93" s="10"/>
      <c r="G93" s="8"/>
      <c r="H93" s="8"/>
      <c r="I93" s="8" t="str">
        <f t="array" ref="I93">_xlfn.SWITCH(H93,"XS",1,"S",2,"M",3,"L",5,"XL",8,"XXL",13,"XXXL",21,"")</f>
        <v/>
      </c>
      <c r="J93" s="8"/>
      <c r="K93" s="8"/>
      <c r="L93" s="8"/>
    </row>
    <row r="94" spans="1:12" x14ac:dyDescent="0.3">
      <c r="A94" s="8"/>
      <c r="B94" s="8"/>
      <c r="C94" s="8"/>
      <c r="D94" s="8"/>
      <c r="E94" s="8"/>
      <c r="F94" s="10"/>
      <c r="G94" s="8"/>
      <c r="H94" s="8"/>
      <c r="I94" s="8" t="str">
        <f t="array" ref="I94">_xlfn.SWITCH(H94,"XS",1,"S",2,"M",3,"L",5,"XL",8,"XXL",13,"XXXL",21,"")</f>
        <v/>
      </c>
      <c r="J94" s="8"/>
      <c r="K94" s="8"/>
      <c r="L94" s="8"/>
    </row>
    <row r="95" spans="1:12" x14ac:dyDescent="0.3">
      <c r="A95" s="8"/>
      <c r="B95" s="8"/>
      <c r="C95" s="8"/>
      <c r="D95" s="8"/>
      <c r="E95" s="8"/>
      <c r="F95" s="10"/>
      <c r="G95" s="8"/>
      <c r="H95" s="8"/>
      <c r="I95" s="8" t="str">
        <f t="array" ref="I95">_xlfn.SWITCH(H95,"XS",1,"S",2,"M",3,"L",5,"XL",8,"XXL",13,"XXXL",21,"")</f>
        <v/>
      </c>
      <c r="J95" s="8"/>
      <c r="K95" s="8"/>
      <c r="L95" s="8"/>
    </row>
    <row r="96" spans="1:12" x14ac:dyDescent="0.3">
      <c r="A96" s="8"/>
      <c r="B96" s="8"/>
      <c r="C96" s="8"/>
      <c r="D96" s="8"/>
      <c r="E96" s="8"/>
      <c r="F96" s="10"/>
      <c r="G96" s="8"/>
      <c r="H96" s="8"/>
      <c r="I96" s="8" t="str">
        <f t="array" ref="I96">_xlfn.SWITCH(H96,"XS",1,"S",2,"M",3,"L",5,"XL",8,"XXL",13,"XXXL",21,"")</f>
        <v/>
      </c>
      <c r="J96" s="8"/>
      <c r="K96" s="8"/>
      <c r="L96" s="8"/>
    </row>
    <row r="97" spans="1:12" x14ac:dyDescent="0.3">
      <c r="A97" s="8"/>
      <c r="B97" s="8"/>
      <c r="C97" s="8"/>
      <c r="D97" s="8"/>
      <c r="E97" s="8"/>
      <c r="F97" s="10"/>
      <c r="G97" s="8"/>
      <c r="H97" s="8"/>
      <c r="I97" s="8" t="str">
        <f t="array" ref="I97">_xlfn.SWITCH(H97,"XS",1,"S",2,"M",3,"L",5,"XL",8,"XXL",13,"XXXL",21,"")</f>
        <v/>
      </c>
      <c r="J97" s="8"/>
      <c r="K97" s="8"/>
      <c r="L97" s="8"/>
    </row>
    <row r="98" spans="1:12" x14ac:dyDescent="0.3">
      <c r="A98" s="8"/>
      <c r="B98" s="8"/>
      <c r="C98" s="8"/>
      <c r="D98" s="8"/>
      <c r="E98" s="8"/>
      <c r="F98" s="10"/>
      <c r="G98" s="8"/>
      <c r="H98" s="8"/>
      <c r="I98" s="8" t="str">
        <f t="array" ref="I98">_xlfn.SWITCH(H98,"XS",1,"S",2,"M",3,"L",5,"XL",8,"XXL",13,"XXXL",21,"")</f>
        <v/>
      </c>
      <c r="J98" s="8"/>
      <c r="K98" s="8"/>
      <c r="L98" s="8"/>
    </row>
    <row r="99" spans="1:12" x14ac:dyDescent="0.3">
      <c r="A99" s="8"/>
      <c r="B99" s="8"/>
      <c r="C99" s="8"/>
      <c r="D99" s="8"/>
      <c r="E99" s="8"/>
      <c r="F99" s="10"/>
      <c r="G99" s="8"/>
      <c r="H99" s="8"/>
      <c r="I99" s="8" t="str">
        <f t="array" ref="I99">_xlfn.SWITCH(H99,"XS",1,"S",2,"M",3,"L",5,"XL",8,"XXL",13,"XXXL",21,"")</f>
        <v/>
      </c>
      <c r="J99" s="8"/>
      <c r="K99" s="8"/>
      <c r="L99" s="8"/>
    </row>
    <row r="100" spans="1:12" x14ac:dyDescent="0.3">
      <c r="A100" s="8"/>
      <c r="B100" s="8"/>
      <c r="C100" s="8"/>
      <c r="D100" s="8"/>
      <c r="E100" s="8"/>
      <c r="F100" s="10"/>
      <c r="G100" s="8"/>
      <c r="H100" s="8"/>
      <c r="I100" s="8" t="str">
        <f t="array" ref="I100">_xlfn.SWITCH(H100,"XS",1,"S",2,"M",3,"L",5,"XL",8,"XXL",13,"XXXL",21,"")</f>
        <v/>
      </c>
      <c r="J100" s="8"/>
      <c r="K100" s="8"/>
      <c r="L100" s="8"/>
    </row>
    <row r="101" spans="1:12" x14ac:dyDescent="0.3">
      <c r="A101" s="8"/>
      <c r="B101" s="8"/>
      <c r="C101" s="8"/>
      <c r="D101" s="8"/>
      <c r="E101" s="8"/>
      <c r="F101" s="10"/>
      <c r="G101" s="8"/>
      <c r="H101" s="8"/>
      <c r="I101" s="8" t="str">
        <f t="array" ref="I101">_xlfn.SWITCH(H101,"XS",1,"S",2,"M",3,"L",5,"XL",8,"XXL",13,"XXXL",21,"")</f>
        <v/>
      </c>
      <c r="J101" s="8"/>
      <c r="K101" s="8"/>
      <c r="L101" s="8"/>
    </row>
    <row r="102" spans="1:12" x14ac:dyDescent="0.3">
      <c r="A102" s="8"/>
      <c r="B102" s="8"/>
      <c r="C102" s="8"/>
      <c r="D102" s="8"/>
      <c r="E102" s="8"/>
      <c r="F102" s="10"/>
      <c r="G102" s="8"/>
      <c r="H102" s="8"/>
      <c r="I102" s="8" t="str">
        <f t="array" ref="I102">_xlfn.SWITCH(H102,"XS",1,"S",2,"M",3,"L",5,"XL",8,"XXL",13,"XXXL",21,"")</f>
        <v/>
      </c>
      <c r="J102" s="8"/>
      <c r="K102" s="8"/>
      <c r="L102" s="8"/>
    </row>
    <row r="103" spans="1:12" x14ac:dyDescent="0.3">
      <c r="A103" s="8"/>
      <c r="B103" s="8"/>
      <c r="C103" s="8"/>
      <c r="D103" s="8"/>
      <c r="E103" s="8"/>
      <c r="F103" s="10"/>
      <c r="G103" s="8"/>
      <c r="H103" s="8"/>
      <c r="I103" s="8" t="str">
        <f t="array" ref="I103">_xlfn.SWITCH(H103,"XS",1,"S",2,"M",3,"L",5,"XL",8,"XXL",13,"XXXL",21,"")</f>
        <v/>
      </c>
      <c r="J103" s="8"/>
      <c r="K103" s="8"/>
      <c r="L103" s="8"/>
    </row>
    <row r="104" spans="1:12" x14ac:dyDescent="0.3">
      <c r="A104" s="8"/>
      <c r="B104" s="8"/>
      <c r="C104" s="8"/>
      <c r="D104" s="8"/>
      <c r="E104" s="8"/>
      <c r="F104" s="10"/>
      <c r="G104" s="8"/>
      <c r="H104" s="8"/>
      <c r="I104" s="8" t="str">
        <f t="array" ref="I104">_xlfn.SWITCH(H104,"XS",1,"S",2,"M",3,"L",5,"XL",8,"XXL",13,"XXXL",21,"")</f>
        <v/>
      </c>
      <c r="J104" s="8"/>
      <c r="K104" s="8"/>
      <c r="L104" s="8"/>
    </row>
    <row r="105" spans="1:12" x14ac:dyDescent="0.3">
      <c r="A105" s="8"/>
      <c r="B105" s="8"/>
      <c r="C105" s="8"/>
      <c r="D105" s="8"/>
      <c r="E105" s="8"/>
      <c r="F105" s="10"/>
      <c r="G105" s="8"/>
      <c r="H105" s="8"/>
      <c r="I105" s="8" t="str">
        <f t="array" ref="I105">_xlfn.SWITCH(H105,"XS",1,"S",2,"M",3,"L",5,"XL",8,"XXL",13,"XXXL",21,"")</f>
        <v/>
      </c>
      <c r="J105" s="8"/>
      <c r="K105" s="8"/>
      <c r="L105" s="8"/>
    </row>
    <row r="106" spans="1:12" x14ac:dyDescent="0.3">
      <c r="A106" s="8"/>
      <c r="B106" s="8"/>
      <c r="C106" s="8"/>
      <c r="D106" s="8"/>
      <c r="E106" s="8"/>
      <c r="F106" s="10"/>
      <c r="G106" s="8"/>
      <c r="H106" s="8"/>
      <c r="I106" s="8" t="str">
        <f t="array" ref="I106">_xlfn.SWITCH(H106,"XS",1,"S",2,"M",3,"L",5,"XL",8,"XXL",13,"XXXL",21,"")</f>
        <v/>
      </c>
      <c r="J106" s="8"/>
      <c r="K106" s="8"/>
      <c r="L106" s="8"/>
    </row>
    <row r="107" spans="1:12" x14ac:dyDescent="0.3">
      <c r="A107" s="8"/>
      <c r="B107" s="8"/>
      <c r="C107" s="8"/>
      <c r="D107" s="8"/>
      <c r="E107" s="8"/>
      <c r="F107" s="10"/>
      <c r="G107" s="8"/>
      <c r="H107" s="8"/>
      <c r="I107" s="8" t="str">
        <f t="array" ref="I107">_xlfn.SWITCH(H107,"XS",1,"S",2,"M",3,"L",5,"XL",8,"XXL",13,"XXXL",21,"")</f>
        <v/>
      </c>
      <c r="J107" s="8"/>
      <c r="K107" s="8"/>
      <c r="L107" s="8"/>
    </row>
    <row r="108" spans="1:12" x14ac:dyDescent="0.3">
      <c r="A108" s="8"/>
      <c r="B108" s="8"/>
      <c r="C108" s="8"/>
      <c r="D108" s="8"/>
      <c r="E108" s="8"/>
      <c r="F108" s="10"/>
      <c r="G108" s="8"/>
      <c r="H108" s="8"/>
      <c r="I108" s="8" t="str">
        <f t="array" ref="I108">_xlfn.SWITCH(H108,"XS",1,"S",2,"M",3,"L",5,"XL",8,"XXL",13,"XXXL",21,"")</f>
        <v/>
      </c>
      <c r="J108" s="8"/>
      <c r="K108" s="8"/>
      <c r="L108" s="8"/>
    </row>
    <row r="109" spans="1:12" x14ac:dyDescent="0.3">
      <c r="A109" s="8"/>
      <c r="B109" s="8"/>
      <c r="C109" s="8"/>
      <c r="D109" s="8"/>
      <c r="E109" s="8"/>
      <c r="F109" s="10"/>
      <c r="G109" s="8"/>
      <c r="H109" s="8"/>
      <c r="I109" s="8" t="str">
        <f t="array" ref="I109">_xlfn.SWITCH(H109,"XS",1,"S",2,"M",3,"L",5,"XL",8,"XXL",13,"XXXL",21,"")</f>
        <v/>
      </c>
      <c r="J109" s="8"/>
      <c r="K109" s="8"/>
      <c r="L109" s="8"/>
    </row>
    <row r="110" spans="1:12" x14ac:dyDescent="0.3">
      <c r="A110" s="8"/>
      <c r="B110" s="8"/>
      <c r="C110" s="8"/>
      <c r="D110" s="8"/>
      <c r="E110" s="8"/>
      <c r="F110" s="10"/>
      <c r="G110" s="8"/>
      <c r="H110" s="8"/>
      <c r="I110" s="8" t="str">
        <f t="array" ref="I110">_xlfn.SWITCH(H110,"XS",1,"S",2,"M",3,"L",5,"XL",8,"XXL",13,"XXXL",21,"")</f>
        <v/>
      </c>
      <c r="J110" s="8"/>
      <c r="K110" s="8"/>
      <c r="L110" s="8"/>
    </row>
    <row r="111" spans="1:12" x14ac:dyDescent="0.3">
      <c r="A111" s="8"/>
      <c r="B111" s="8"/>
      <c r="C111" s="8"/>
      <c r="D111" s="8"/>
      <c r="E111" s="8"/>
      <c r="F111" s="10"/>
      <c r="G111" s="8"/>
      <c r="H111" s="8"/>
      <c r="I111" s="8" t="str">
        <f t="array" ref="I111">_xlfn.SWITCH(H111,"XS",1,"S",2,"M",3,"L",5,"XL",8,"XXL",13,"XXXL",21,"")</f>
        <v/>
      </c>
      <c r="J111" s="8"/>
      <c r="K111" s="8"/>
      <c r="L111" s="8"/>
    </row>
    <row r="112" spans="1:12" x14ac:dyDescent="0.3">
      <c r="A112" s="8"/>
      <c r="B112" s="8"/>
      <c r="C112" s="8"/>
      <c r="D112" s="8"/>
      <c r="E112" s="8"/>
      <c r="F112" s="10"/>
      <c r="G112" s="8"/>
      <c r="H112" s="8"/>
      <c r="I112" s="8" t="str">
        <f t="array" ref="I112">_xlfn.SWITCH(H112,"XS",1,"S",2,"M",3,"L",5,"XL",8,"XXL",13,"XXXL",21,"")</f>
        <v/>
      </c>
      <c r="J112" s="8"/>
      <c r="K112" s="8"/>
      <c r="L112" s="8"/>
    </row>
    <row r="113" spans="1:12" x14ac:dyDescent="0.3">
      <c r="A113" s="8"/>
      <c r="B113" s="8"/>
      <c r="C113" s="8"/>
      <c r="D113" s="8"/>
      <c r="E113" s="8"/>
      <c r="F113" s="10"/>
      <c r="G113" s="8"/>
      <c r="H113" s="8"/>
      <c r="I113" s="8" t="str">
        <f t="array" ref="I113">_xlfn.SWITCH(H113,"XS",1,"S",2,"M",3,"L",5,"XL",8,"XXL",13,"XXXL",21,"")</f>
        <v/>
      </c>
      <c r="J113" s="8"/>
      <c r="K113" s="8"/>
      <c r="L113"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activeCell="F7" sqref="F7"/>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ols>
  <sheetData>
    <row r="1" spans="1:12" ht="43.2" x14ac:dyDescent="0.3">
      <c r="A1" s="2" t="s">
        <v>12</v>
      </c>
      <c r="B1" s="2" t="s">
        <v>62</v>
      </c>
      <c r="C1" s="1" t="s">
        <v>13</v>
      </c>
      <c r="D1" s="1" t="s">
        <v>14</v>
      </c>
      <c r="E1" s="1" t="s">
        <v>15</v>
      </c>
    </row>
    <row r="2" spans="1:12" x14ac:dyDescent="0.3">
      <c r="A2" s="2">
        <v>0</v>
      </c>
      <c r="B2" s="14">
        <v>46251</v>
      </c>
      <c r="C2" s="4">
        <f>54-SUM(E$2:E2)</f>
        <v>54</v>
      </c>
      <c r="D2" s="1">
        <f>54*(1-(A2/8))</f>
        <v>54</v>
      </c>
      <c r="E2" s="1">
        <v>0</v>
      </c>
    </row>
    <row r="3" spans="1:12" x14ac:dyDescent="0.3">
      <c r="A3" s="2">
        <v>1</v>
      </c>
      <c r="B3" s="14">
        <v>46252</v>
      </c>
      <c r="C3" s="4">
        <f>54-SUM(E$2:E3)</f>
        <v>54</v>
      </c>
      <c r="D3" s="1">
        <f t="shared" ref="D3:D10" si="0">54*(1-(A3/8))</f>
        <v>47.25</v>
      </c>
      <c r="E3" s="1">
        <v>0</v>
      </c>
    </row>
    <row r="4" spans="1:12" x14ac:dyDescent="0.3">
      <c r="A4" s="2">
        <v>2</v>
      </c>
      <c r="B4" s="14">
        <v>46253</v>
      </c>
      <c r="C4" s="4">
        <f>54-SUM(E$2:E4)</f>
        <v>54</v>
      </c>
      <c r="D4" s="1">
        <f t="shared" si="0"/>
        <v>40.5</v>
      </c>
      <c r="E4" s="1">
        <v>0</v>
      </c>
      <c r="L4" s="3"/>
    </row>
    <row r="5" spans="1:12" x14ac:dyDescent="0.3">
      <c r="A5" s="2">
        <v>3</v>
      </c>
      <c r="B5" s="14">
        <v>46254</v>
      </c>
      <c r="C5" s="4">
        <f>54-SUM(E$2:E5)</f>
        <v>54</v>
      </c>
      <c r="D5" s="1">
        <f t="shared" si="0"/>
        <v>33.75</v>
      </c>
      <c r="E5" s="1">
        <v>0</v>
      </c>
    </row>
    <row r="6" spans="1:12" x14ac:dyDescent="0.3">
      <c r="A6" s="2">
        <v>4</v>
      </c>
      <c r="B6" s="14">
        <v>46255</v>
      </c>
      <c r="C6" s="4">
        <f>54-SUM(E$2:E6)</f>
        <v>54</v>
      </c>
      <c r="D6" s="1">
        <f t="shared" si="0"/>
        <v>27</v>
      </c>
      <c r="E6" s="1">
        <v>0</v>
      </c>
    </row>
    <row r="7" spans="1:12" x14ac:dyDescent="0.3">
      <c r="A7" s="2">
        <v>5</v>
      </c>
      <c r="B7" s="14">
        <v>46258</v>
      </c>
      <c r="C7" s="4">
        <f>54-SUM(E$2:E7)</f>
        <v>54</v>
      </c>
      <c r="D7" s="1">
        <f t="shared" si="0"/>
        <v>20.25</v>
      </c>
      <c r="E7" s="1">
        <v>0</v>
      </c>
    </row>
    <row r="8" spans="1:12" x14ac:dyDescent="0.3">
      <c r="A8" s="2">
        <v>6</v>
      </c>
      <c r="B8" s="14">
        <v>46259</v>
      </c>
      <c r="C8" s="4">
        <f>54-SUM(E$2:E8)</f>
        <v>54</v>
      </c>
      <c r="D8" s="1">
        <f t="shared" si="0"/>
        <v>13.5</v>
      </c>
      <c r="E8" s="1">
        <v>0</v>
      </c>
    </row>
    <row r="9" spans="1:12" x14ac:dyDescent="0.3">
      <c r="A9" s="2">
        <v>7</v>
      </c>
      <c r="B9" s="14">
        <v>46260</v>
      </c>
      <c r="C9" s="4">
        <f>54-SUM(E$2:E9)</f>
        <v>54</v>
      </c>
      <c r="D9" s="1">
        <f t="shared" si="0"/>
        <v>6.75</v>
      </c>
      <c r="E9" s="1">
        <v>0</v>
      </c>
    </row>
    <row r="10" spans="1:12" x14ac:dyDescent="0.3">
      <c r="A10" s="2">
        <v>8</v>
      </c>
      <c r="B10" s="14">
        <v>46261</v>
      </c>
      <c r="C10" s="4">
        <f>54-SUM(E$2:E10)</f>
        <v>54</v>
      </c>
      <c r="D10" s="1">
        <f t="shared" si="0"/>
        <v>0</v>
      </c>
      <c r="E10"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2026-08-20T10:14:56Z</dcterms:modified>
</cp:coreProperties>
</file>